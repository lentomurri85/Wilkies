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\\mailserver\public2\Silvia\"/>
    </mc:Choice>
  </mc:AlternateContent>
  <xr:revisionPtr revIDLastSave="0" documentId="13_ncr:1_{B8AD0EE2-DCCC-48F4-9494-C214E2305658}" xr6:coauthVersionLast="47" xr6:coauthVersionMax="47" xr10:uidLastSave="{00000000-0000-0000-0000-000000000000}"/>
  <bookViews>
    <workbookView xWindow="3300" yWindow="1215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7" i="1" l="1"/>
  <c r="F3" i="1"/>
  <c r="F4" i="1"/>
  <c r="F5" i="1"/>
  <c r="F6" i="1"/>
  <c r="F2" i="1"/>
  <c r="H2" i="1"/>
  <c r="E7" i="1"/>
  <c r="E3" i="1"/>
  <c r="E4" i="1"/>
  <c r="E5" i="1"/>
  <c r="E6" i="1"/>
  <c r="E2" i="1"/>
  <c r="J2" i="1" l="1"/>
  <c r="K2" i="1"/>
</calcChain>
</file>

<file path=xl/sharedStrings.xml><?xml version="1.0" encoding="utf-8"?>
<sst xmlns="http://schemas.openxmlformats.org/spreadsheetml/2006/main" count="13" uniqueCount="13">
  <si>
    <t>STARTING TIME</t>
  </si>
  <si>
    <t>ENDING TIME</t>
  </si>
  <si>
    <t>BREAK</t>
  </si>
  <si>
    <t>MONDAY</t>
  </si>
  <si>
    <t>TUESDAY</t>
  </si>
  <si>
    <t>WEDNESDAY</t>
  </si>
  <si>
    <t>THURSDAY</t>
  </si>
  <si>
    <t>FRIDAY</t>
  </si>
  <si>
    <t>TOTAL HOURS</t>
  </si>
  <si>
    <t>Total Hours Worked</t>
  </si>
  <si>
    <t>Total Contracted</t>
  </si>
  <si>
    <t>Lieu Time</t>
  </si>
  <si>
    <t>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</si>
</sst>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2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M3" sqref="M3"/>
    </sheetView>
  </sheetViews>
  <sheetFormatPr defaultRowHeight="15" x14ac:dyDescent="0.25"/>
  <cols>
    <col min="1" max="1" width="12.140625" bestFit="1" customWidth="1"/>
    <col min="2" max="2" width="14.5703125" style="3" bestFit="1" customWidth="1"/>
    <col min="3" max="3" width="12.7109375" style="3" bestFit="1" customWidth="1"/>
    <col min="5" max="5" width="13.28515625" customWidth="1"/>
    <col min="6" max="6" width="8.7109375" style="4" customWidth="1"/>
    <col min="8" max="8" width="18.7109375" bestFit="1" customWidth="1"/>
    <col min="9" max="9" width="15.7109375" bestFit="1" customWidth="1"/>
    <col min="10" max="10" width="5.5703125" bestFit="1" customWidth="1"/>
  </cols>
  <sheetData>
    <row r="1" spans="1:13" x14ac:dyDescent="0.25">
      <c r="B1" s="3" t="s">
        <v>0</v>
      </c>
      <c r="C1" s="3" t="s">
        <v>1</v>
      </c>
      <c r="D1" t="s">
        <v>2</v>
      </c>
      <c r="E1" t="s">
        <v>8</v>
      </c>
      <c r="F1" s="4" t="s">
        <v>12</v>
      </c>
      <c r="H1" t="s">
        <v>9</v>
      </c>
      <c r="I1" t="s">
        <v>10</v>
      </c>
      <c r="K1" t="s">
        <v>11</v>
      </c>
    </row>
    <row r="2" spans="1:13" x14ac:dyDescent="0.25">
      <c r="A2" t="s">
        <v>3</v>
      </c>
      <c r="B2" s="3">
        <v>0.3125</v>
      </c>
      <c r="C2" s="3">
        <v>0.69444444444444453</v>
      </c>
      <c r="D2" s="2">
        <v>2.0833333333333332E-2</v>
      </c>
      <c r="E2" s="1">
        <f>IF(OR(B2="",C2=""),"",IFERROR(TEXT(C2-D2,"H:MM") - B2,""))</f>
        <v>0.36111111111111116</v>
      </c>
      <c r="F2" s="4">
        <f>E2*24</f>
        <v>8.6666666666666679</v>
      </c>
      <c r="H2" s="4">
        <f>E7</f>
        <v>37.5</v>
      </c>
      <c r="I2" s="4">
        <v>37.5</v>
      </c>
      <c r="J2" s="4">
        <f>I2-H2</f>
        <v>0</v>
      </c>
      <c r="K2" s="4">
        <f xml:space="preserve"> H2 - 37.5</f>
        <v>0</v>
      </c>
      <c r="M2" s="4"/>
    </row>
    <row r="3" spans="1:13" x14ac:dyDescent="0.25">
      <c r="A3" t="s">
        <v>4</v>
      </c>
      <c r="B3" s="3">
        <v>0.3125</v>
      </c>
      <c r="C3" s="3">
        <v>0.65277777777777779</v>
      </c>
      <c r="D3" s="2">
        <v>2.0833333333333332E-2</v>
      </c>
      <c r="E3" s="1">
        <f t="shared" ref="E3:E6" si="0">IF(OR(B3="",C3=""),"",IFERROR(TEXT(C3-D3,"H:MM") - B3,""))</f>
        <v>0.31944444444444442</v>
      </c>
      <c r="F3" s="4">
        <f t="shared" ref="F3:F6" si="1">E3*24</f>
        <v>7.6666666666666661</v>
      </c>
      <c r="H3" s="1"/>
    </row>
    <row r="4" spans="1:13" x14ac:dyDescent="0.25">
      <c r="A4" t="s">
        <v>5</v>
      </c>
      <c r="B4" s="3">
        <v>0.32291666666666669</v>
      </c>
      <c r="C4" s="3">
        <v>0.66666666666666663</v>
      </c>
      <c r="D4" s="2">
        <v>1.3888888888888888E-2</v>
      </c>
      <c r="E4" s="1">
        <f t="shared" si="0"/>
        <v>0.3298611111111111</v>
      </c>
      <c r="F4" s="4">
        <f t="shared" si="1"/>
        <v>7.9166666666666661</v>
      </c>
    </row>
    <row r="5" spans="1:13" x14ac:dyDescent="0.25">
      <c r="A5" t="s">
        <v>6</v>
      </c>
      <c r="B5" s="3">
        <v>0.3125</v>
      </c>
      <c r="C5" s="3">
        <v>0.66666666666666663</v>
      </c>
      <c r="D5" s="2">
        <v>1.7361111111111112E-2</v>
      </c>
      <c r="E5" s="1">
        <f t="shared" si="0"/>
        <v>0.33680555555555558</v>
      </c>
      <c r="F5" s="4">
        <f t="shared" si="1"/>
        <v>8.0833333333333339</v>
      </c>
    </row>
    <row r="6" spans="1:13" x14ac:dyDescent="0.25">
      <c r="A6" t="s">
        <v>7</v>
      </c>
      <c r="B6" s="3">
        <v>0.30902777777777779</v>
      </c>
      <c r="C6" s="3">
        <v>0.52430555555555558</v>
      </c>
      <c r="D6" s="2"/>
      <c r="E6" s="1">
        <f t="shared" si="0"/>
        <v>0.21527777777777779</v>
      </c>
      <c r="F6" s="4">
        <f t="shared" si="1"/>
        <v>5.166666666666667</v>
      </c>
      <c r="H6" s="1"/>
    </row>
    <row r="7" spans="1:13" x14ac:dyDescent="0.25">
      <c r="E7" s="4">
        <f>SUM(E2:E6) *24</f>
        <v>37.5</v>
      </c>
      <c r="F7" s="4">
        <f xml:space="preserve"> SUM(F2:F6)</f>
        <v>37.5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AnnaGiulia Cescon</dc:creator>
  <cp:lastModifiedBy>Anna Giulia Cescon</cp:lastModifiedBy>
  <dcterms:created xsi:type="dcterms:W3CDTF">2015-06-05T18:17:20Z</dcterms:created>
  <dcterms:modified xsi:type="dcterms:W3CDTF">2022-07-01T06:50:20Z</dcterms:modified>
</cp:coreProperties>
</file>