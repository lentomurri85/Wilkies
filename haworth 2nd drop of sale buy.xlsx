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"/>
    </mc:Choice>
  </mc:AlternateContent>
  <xr:revisionPtr revIDLastSave="0" documentId="8_{0EA29028-C15F-453C-80AD-790112FF99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VERT" sheetId="1" r:id="rId1"/>
    <sheet name="Sheet1" sheetId="2" r:id="rId2"/>
  </sheets>
  <externalReferences>
    <externalReference r:id="rId3"/>
    <externalReference r:id="rId4"/>
  </externalReferences>
  <definedNames>
    <definedName name="_xlnm._FilterDatabase" localSheetId="0" hidden="1">CONVERT!$A$1:$Z$129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6" i="1" l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" i="1"/>
  <c r="R128" i="1"/>
  <c r="R113" i="1"/>
  <c r="R112" i="1"/>
  <c r="R98" i="1"/>
  <c r="R97" i="1"/>
  <c r="R85" i="1"/>
  <c r="R84" i="1"/>
  <c r="R83" i="1"/>
  <c r="R73" i="1"/>
  <c r="R70" i="1"/>
  <c r="R68" i="1"/>
  <c r="R55" i="1"/>
  <c r="R54" i="1"/>
  <c r="R18" i="1"/>
  <c r="R16" i="1"/>
</calcChain>
</file>

<file path=xl/sharedStrings.xml><?xml version="1.0" encoding="utf-8"?>
<sst xmlns="http://schemas.openxmlformats.org/spreadsheetml/2006/main" count="2628" uniqueCount="164">
  <si>
    <t>Type</t>
  </si>
  <si>
    <t>Store</t>
  </si>
  <si>
    <t>CC No..</t>
  </si>
  <si>
    <t>Warehouse</t>
  </si>
  <si>
    <t>Internal Ref</t>
  </si>
  <si>
    <t>Order No. (Ext Ref)</t>
  </si>
  <si>
    <t>Container Ref</t>
  </si>
  <si>
    <t>Order Date</t>
  </si>
  <si>
    <t>Approx Delivery Date</t>
  </si>
  <si>
    <t>Supplier</t>
  </si>
  <si>
    <t>Customer</t>
  </si>
  <si>
    <t>Member Name</t>
  </si>
  <si>
    <t>Trade islands/Catalogue Ref</t>
  </si>
  <si>
    <t>Product Code</t>
  </si>
  <si>
    <t>Item description</t>
  </si>
  <si>
    <t>Line barcode</t>
  </si>
  <si>
    <t>Supplier Colour</t>
  </si>
  <si>
    <t>Furniture Colour 1</t>
  </si>
  <si>
    <t>Furniture Colour 2</t>
  </si>
  <si>
    <t>Order Qty</t>
  </si>
  <si>
    <t>Remaining Qty</t>
  </si>
  <si>
    <t>Unit price</t>
  </si>
  <si>
    <t>Value</t>
  </si>
  <si>
    <t>Status</t>
  </si>
  <si>
    <t>Active</t>
  </si>
  <si>
    <t>Export Status</t>
  </si>
  <si>
    <t>CC</t>
  </si>
  <si>
    <t>100</t>
  </si>
  <si>
    <t>CC00030761</t>
  </si>
  <si>
    <t>HAWORTH SALE STOCK</t>
  </si>
  <si>
    <t/>
  </si>
  <si>
    <t>69696</t>
  </si>
  <si>
    <t>502115702095</t>
  </si>
  <si>
    <t>Wilkies Ltd-2095</t>
  </si>
  <si>
    <t>4131</t>
  </si>
  <si>
    <t>TEDDY P01</t>
  </si>
  <si>
    <t>COTTON V NECK PULLOVER-CAT4131-12units Navy</t>
  </si>
  <si>
    <t>Allocated to Stock</t>
  </si>
  <si>
    <t>X</t>
  </si>
  <si>
    <t>exported</t>
  </si>
  <si>
    <t>TEDDY P02</t>
  </si>
  <si>
    <t>COTTON V NECK PULLOVER-CAT4131-12units Coibalt</t>
  </si>
  <si>
    <t>TEDDY P03</t>
  </si>
  <si>
    <t>COTTON V NECK PULLOVER-CAT4131-12units Fuschia</t>
  </si>
  <si>
    <t>TEDDY P06</t>
  </si>
  <si>
    <t>COTTON V NECK PULLOVER-CAT4131-12units Lime</t>
  </si>
  <si>
    <t>TEDDY P07</t>
  </si>
  <si>
    <t>COTTON V NECK PULLOVER-CAT4131-12units Orange</t>
  </si>
  <si>
    <t>5141</t>
  </si>
  <si>
    <t>TEDDY02 P07</t>
  </si>
  <si>
    <t>COTTON  V NECK FINE GAUGE COFFEE</t>
  </si>
  <si>
    <t>5057949222456</t>
  </si>
  <si>
    <t>COFFEE</t>
  </si>
  <si>
    <t>69698</t>
  </si>
  <si>
    <t>6126</t>
  </si>
  <si>
    <t>DANIEL</t>
  </si>
  <si>
    <t>CVC S/SLV COTTON RICH CHECK SHIRT</t>
  </si>
  <si>
    <t>BLUE/TAN CHECK</t>
  </si>
  <si>
    <t>NAVY/TAN CHECK</t>
  </si>
  <si>
    <t>69732</t>
  </si>
  <si>
    <t>6130</t>
  </si>
  <si>
    <t>STYLE01</t>
  </si>
  <si>
    <t>S/S COTTON CREW NECK T-SHIRT</t>
  </si>
  <si>
    <t>5057091438989</t>
  </si>
  <si>
    <t>MOSS</t>
  </si>
  <si>
    <t>6146</t>
  </si>
  <si>
    <t>ARLO</t>
  </si>
  <si>
    <t>COTTON CREW NECK FINE GAUGE PULLOVER</t>
  </si>
  <si>
    <t>5057091439542</t>
  </si>
  <si>
    <t>CORAL</t>
  </si>
  <si>
    <t>6151</t>
  </si>
  <si>
    <t>9005</t>
  </si>
  <si>
    <t>COTTON 1/4 ZIP RIB FRONT KNIT PULLOVER</t>
  </si>
  <si>
    <t>5057091439689</t>
  </si>
  <si>
    <t>NAVY</t>
  </si>
  <si>
    <t>Helensburgh</t>
  </si>
  <si>
    <t>CC00030769</t>
  </si>
  <si>
    <t>502115701380</t>
  </si>
  <si>
    <t>Wilkies Ltd-1380</t>
  </si>
  <si>
    <t>6150</t>
  </si>
  <si>
    <t>9004</t>
  </si>
  <si>
    <t>COTTON 2 COLOUR TWIST CREW NECK PULLOVER</t>
  </si>
  <si>
    <t>5057091439665</t>
  </si>
  <si>
    <t>BLUE / OFF WHITE</t>
  </si>
  <si>
    <t>5057091439672</t>
  </si>
  <si>
    <t>CORAL / OFF WHITE</t>
  </si>
  <si>
    <t>Falkirk</t>
  </si>
  <si>
    <t>CC00030767</t>
  </si>
  <si>
    <t>502115702577</t>
  </si>
  <si>
    <t>Wilkies Ballater Ltd-2577</t>
  </si>
  <si>
    <t>AIST-HW-S1960 2180</t>
  </si>
  <si>
    <t>5057091435339</t>
  </si>
  <si>
    <t>TEDDY02 P04</t>
  </si>
  <si>
    <t>COTTON  V NECK FINE GAUGE CHARCOAL</t>
  </si>
  <si>
    <t>5057949222425</t>
  </si>
  <si>
    <t>CHARCOAL</t>
  </si>
  <si>
    <t>WHITE/MOSS CHECK</t>
  </si>
  <si>
    <t>6128</t>
  </si>
  <si>
    <t>AUSTIN</t>
  </si>
  <si>
    <t>S/S COTTON SEERSUCKER CHECK SHIRT</t>
  </si>
  <si>
    <t>5057091438903</t>
  </si>
  <si>
    <t>NAVY CHECK</t>
  </si>
  <si>
    <t>5057091450387</t>
  </si>
  <si>
    <t>5057091450394</t>
  </si>
  <si>
    <t>5057091450400</t>
  </si>
  <si>
    <t>5057091450417</t>
  </si>
  <si>
    <t>5057091438941</t>
  </si>
  <si>
    <t>6131</t>
  </si>
  <si>
    <t>STYLE02</t>
  </si>
  <si>
    <t>S/S COTTON PIQUE POLO SHIRT</t>
  </si>
  <si>
    <t>5057091439023</t>
  </si>
  <si>
    <t>6145</t>
  </si>
  <si>
    <t>TEDDY</t>
  </si>
  <si>
    <t>COTTON V NECK FINE GAUGE PULLOVER</t>
  </si>
  <si>
    <t>Ballater</t>
  </si>
  <si>
    <t>CC00030766</t>
  </si>
  <si>
    <t>502115701383</t>
  </si>
  <si>
    <t>Wilkies Ltd-1383</t>
  </si>
  <si>
    <t>Peebles</t>
  </si>
  <si>
    <t>CC00030768</t>
  </si>
  <si>
    <t>502115701386</t>
  </si>
  <si>
    <t>Wilkies Ltd-1386</t>
  </si>
  <si>
    <t>5057091435346</t>
  </si>
  <si>
    <t>CC00030765</t>
  </si>
  <si>
    <t>TEDDY02 P01</t>
  </si>
  <si>
    <t>COTTON  V NECK FINE GAUGE NAVY</t>
  </si>
  <si>
    <t>5057949222395</t>
  </si>
  <si>
    <t>5057091439009</t>
  </si>
  <si>
    <t>YELLOW</t>
  </si>
  <si>
    <t>5057091439061</t>
  </si>
  <si>
    <t>5057091439528</t>
  </si>
  <si>
    <t>BLUE</t>
  </si>
  <si>
    <t>Largs</t>
  </si>
  <si>
    <t>CC00030764</t>
  </si>
  <si>
    <t>502115702565</t>
  </si>
  <si>
    <t>Wilkies-2565</t>
  </si>
  <si>
    <t>Perth</t>
  </si>
  <si>
    <t>CC00030763</t>
  </si>
  <si>
    <t>502115701382</t>
  </si>
  <si>
    <t>Wilkies Ltd-1382</t>
  </si>
  <si>
    <t>TEDDY02 P02</t>
  </si>
  <si>
    <t>COTTON  V NECK FINE GAUGE WINE</t>
  </si>
  <si>
    <t>5057949222401</t>
  </si>
  <si>
    <t>WINE</t>
  </si>
  <si>
    <t>CORAL CHECK</t>
  </si>
  <si>
    <t>Kirkcaldy</t>
  </si>
  <si>
    <t>CC00030762</t>
  </si>
  <si>
    <t>502115702440</t>
  </si>
  <si>
    <t>Wilkies Ltd-2440</t>
  </si>
  <si>
    <t>5057091439658</t>
  </si>
  <si>
    <t>KHAKI / STONE</t>
  </si>
  <si>
    <t>Castle Douglas</t>
  </si>
  <si>
    <t xml:space="preserve">selling </t>
  </si>
  <si>
    <t xml:space="preserve">markdown price </t>
  </si>
  <si>
    <t xml:space="preserve">Non Ratio CAT 2180 Crew Neck T-Shirt </t>
  </si>
  <si>
    <t xml:space="preserve">Non Ratio Crew Neck T-Shirt </t>
  </si>
  <si>
    <t>BROWN</t>
  </si>
  <si>
    <t>ORANGE</t>
  </si>
  <si>
    <t>MULTI</t>
  </si>
  <si>
    <t>WHITE</t>
  </si>
  <si>
    <t>BLACK</t>
  </si>
  <si>
    <t>NV CHECK</t>
  </si>
  <si>
    <t>RED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</si>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</sst>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" fontId="0" fillId="3" borderId="0" xfId="0" applyNumberFormat="1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lserver\public2\Buying\2022\SS22\Buying%20Sheets\SS22%20525%20Hawor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tockItem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Budget"/>
      <sheetName val="Planning"/>
      <sheetName val="Committed"/>
      <sheetName val="spend by branch"/>
    </sheetNames>
    <sheetDataSet>
      <sheetData sheetId="0" refreshError="1"/>
      <sheetData sheetId="1" refreshError="1"/>
      <sheetData sheetId="2">
        <row r="5">
          <cell r="L5" t="str">
            <v xml:space="preserve">Supplier </v>
          </cell>
          <cell r="M5" t="str">
            <v>Wilkies</v>
          </cell>
        </row>
        <row r="6">
          <cell r="L6" t="str">
            <v>Colour</v>
          </cell>
          <cell r="M6" t="str">
            <v>Colour</v>
          </cell>
        </row>
        <row r="8">
          <cell r="L8" t="str">
            <v>NAVY</v>
          </cell>
          <cell r="M8" t="str">
            <v>NAVY</v>
          </cell>
        </row>
        <row r="9">
          <cell r="L9" t="str">
            <v>MOSS</v>
          </cell>
          <cell r="M9" t="str">
            <v>GREEN</v>
          </cell>
        </row>
        <row r="10">
          <cell r="L10" t="str">
            <v>BIKE PRINT MOSS</v>
          </cell>
          <cell r="M10" t="str">
            <v>GREEN</v>
          </cell>
        </row>
        <row r="11">
          <cell r="L11" t="str">
            <v>WAVE PRINT BLUE</v>
          </cell>
          <cell r="M11" t="str">
            <v>BLUE</v>
          </cell>
        </row>
        <row r="12">
          <cell r="L12" t="str">
            <v>RUST</v>
          </cell>
          <cell r="M12" t="str">
            <v>RUST</v>
          </cell>
        </row>
        <row r="13">
          <cell r="L13" t="str">
            <v>KHAKI</v>
          </cell>
          <cell r="M13" t="str">
            <v>GREEN</v>
          </cell>
        </row>
        <row r="14">
          <cell r="L14" t="str">
            <v>BLUE/TAN CHECK, NAVY/TAN CHECK</v>
          </cell>
        </row>
        <row r="15">
          <cell r="L15" t="str">
            <v>WHITE/MOSS CHECK, CORAL CHECK</v>
          </cell>
        </row>
        <row r="16">
          <cell r="L16" t="str">
            <v>NAVY</v>
          </cell>
          <cell r="M16" t="str">
            <v>NAVY</v>
          </cell>
        </row>
        <row r="17">
          <cell r="L17" t="str">
            <v>KHAKI</v>
          </cell>
          <cell r="M17" t="str">
            <v>GREEN</v>
          </cell>
        </row>
        <row r="18">
          <cell r="L18" t="str">
            <v>MID BKUE</v>
          </cell>
          <cell r="M18" t="str">
            <v>BLUE</v>
          </cell>
        </row>
        <row r="19">
          <cell r="L19" t="str">
            <v>WHITE</v>
          </cell>
          <cell r="M19" t="str">
            <v>WHITE</v>
          </cell>
        </row>
        <row r="20">
          <cell r="L20" t="str">
            <v>FUCSHIA</v>
          </cell>
          <cell r="M20" t="str">
            <v>PINK</v>
          </cell>
        </row>
        <row r="21">
          <cell r="L21" t="str">
            <v>KHAKI/NAVY/ORANGE</v>
          </cell>
        </row>
        <row r="22">
          <cell r="L22" t="str">
            <v>BLUE/FUCSHIA/NAVY</v>
          </cell>
        </row>
        <row r="23">
          <cell r="L23" t="str">
            <v>NAVY</v>
          </cell>
          <cell r="M23" t="str">
            <v>NAVY</v>
          </cell>
        </row>
        <row r="24">
          <cell r="L24" t="str">
            <v>NAVY</v>
          </cell>
          <cell r="M24" t="str">
            <v>NAVY</v>
          </cell>
        </row>
        <row r="25">
          <cell r="L25" t="str">
            <v>COBALT</v>
          </cell>
          <cell r="M25" t="str">
            <v>BLUE</v>
          </cell>
        </row>
        <row r="26">
          <cell r="L26" t="str">
            <v>FUSHIA</v>
          </cell>
          <cell r="M26" t="str">
            <v>PINK</v>
          </cell>
        </row>
        <row r="27">
          <cell r="L27" t="str">
            <v>LIME</v>
          </cell>
          <cell r="M27" t="str">
            <v>GREEN</v>
          </cell>
        </row>
        <row r="28">
          <cell r="L28" t="str">
            <v>ORANGE</v>
          </cell>
          <cell r="M28" t="str">
            <v>RUST</v>
          </cell>
        </row>
        <row r="29">
          <cell r="L29" t="str">
            <v>FUCSHIA</v>
          </cell>
          <cell r="M29" t="str">
            <v>PINK</v>
          </cell>
        </row>
        <row r="30">
          <cell r="L30" t="str">
            <v>GREEN/NAVY/ORANGE/PALE BLUE</v>
          </cell>
        </row>
        <row r="31">
          <cell r="L31" t="str">
            <v>BLUE</v>
          </cell>
          <cell r="M31" t="str">
            <v>BLUE</v>
          </cell>
        </row>
        <row r="32">
          <cell r="L32" t="str">
            <v>WHITE</v>
          </cell>
          <cell r="M32" t="str">
            <v>WHITE</v>
          </cell>
        </row>
        <row r="33">
          <cell r="L33" t="str">
            <v>BLUE FINE CHECK</v>
          </cell>
          <cell r="M33" t="str">
            <v>BL CHECK</v>
          </cell>
        </row>
        <row r="34">
          <cell r="L34" t="str">
            <v>BLUE FINE STRIPE</v>
          </cell>
          <cell r="M34" t="str">
            <v>BL STRIPE</v>
          </cell>
        </row>
        <row r="35">
          <cell r="L35" t="str">
            <v>PALE BLUE CHECK</v>
          </cell>
          <cell r="M35" t="str">
            <v>BL CHECK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Item"/>
    </sheetNames>
    <sheetDataSet>
      <sheetData sheetId="0">
        <row r="1">
          <cell r="R1" t="str">
            <v>PrimaryBarcode</v>
          </cell>
          <cell r="S1" t="str">
            <v>RangeDetail2</v>
          </cell>
        </row>
        <row r="2">
          <cell r="R2">
            <v>5014478438505</v>
          </cell>
          <cell r="S2" t="str">
            <v>O/S</v>
          </cell>
        </row>
        <row r="3">
          <cell r="R3">
            <v>5014478438673</v>
          </cell>
          <cell r="S3" t="str">
            <v>O/S</v>
          </cell>
        </row>
        <row r="4">
          <cell r="R4">
            <v>5014478438581</v>
          </cell>
          <cell r="S4" t="str">
            <v>O/S</v>
          </cell>
        </row>
        <row r="5">
          <cell r="R5">
            <v>5057091450233</v>
          </cell>
          <cell r="S5" t="str">
            <v>M</v>
          </cell>
        </row>
        <row r="6">
          <cell r="R6">
            <v>5057091450264</v>
          </cell>
          <cell r="S6" t="str">
            <v>XXL</v>
          </cell>
        </row>
        <row r="7">
          <cell r="R7">
            <v>5057091450400</v>
          </cell>
          <cell r="S7" t="str">
            <v>XL</v>
          </cell>
        </row>
        <row r="8">
          <cell r="R8">
            <v>5057091450394</v>
          </cell>
          <cell r="S8" t="str">
            <v>L</v>
          </cell>
        </row>
        <row r="9">
          <cell r="R9">
            <v>5057091450349</v>
          </cell>
          <cell r="S9" t="str">
            <v>L</v>
          </cell>
        </row>
        <row r="10">
          <cell r="R10">
            <v>5057091450509</v>
          </cell>
          <cell r="S10" t="str">
            <v>XL</v>
          </cell>
        </row>
        <row r="11">
          <cell r="R11">
            <v>5057091450448</v>
          </cell>
          <cell r="S11" t="str">
            <v>L</v>
          </cell>
        </row>
        <row r="12">
          <cell r="R12">
            <v>5057091448919</v>
          </cell>
          <cell r="S12" t="str">
            <v>S</v>
          </cell>
        </row>
        <row r="13">
          <cell r="R13">
            <v>5057091449480</v>
          </cell>
          <cell r="S13" t="str">
            <v>L</v>
          </cell>
        </row>
        <row r="14">
          <cell r="R14">
            <v>5057949319675</v>
          </cell>
          <cell r="S14" t="str">
            <v>S</v>
          </cell>
        </row>
        <row r="15">
          <cell r="R15">
            <v>5057949319484</v>
          </cell>
          <cell r="S15" t="str">
            <v>M</v>
          </cell>
        </row>
        <row r="16">
          <cell r="R16">
            <v>5057949319583</v>
          </cell>
          <cell r="S16" t="str">
            <v>M</v>
          </cell>
        </row>
        <row r="17">
          <cell r="R17">
            <v>5057949319606</v>
          </cell>
          <cell r="S17" t="str">
            <v>XL</v>
          </cell>
        </row>
        <row r="18">
          <cell r="R18">
            <v>5057949319453</v>
          </cell>
          <cell r="S18" t="str">
            <v>XL</v>
          </cell>
        </row>
        <row r="19">
          <cell r="R19">
            <v>5057949319781</v>
          </cell>
          <cell r="S19" t="str">
            <v>M</v>
          </cell>
        </row>
        <row r="20">
          <cell r="R20">
            <v>5057949319736</v>
          </cell>
          <cell r="S20" t="str">
            <v>M</v>
          </cell>
        </row>
        <row r="21">
          <cell r="R21">
            <v>5057949319989</v>
          </cell>
          <cell r="S21" t="str">
            <v>M</v>
          </cell>
        </row>
        <row r="22">
          <cell r="R22">
            <v>5057949319729</v>
          </cell>
          <cell r="S22" t="str">
            <v>L</v>
          </cell>
        </row>
        <row r="23">
          <cell r="R23">
            <v>5057949319798</v>
          </cell>
          <cell r="S23" t="str">
            <v>L</v>
          </cell>
        </row>
        <row r="24">
          <cell r="R24">
            <v>5057949319750</v>
          </cell>
          <cell r="S24" t="str">
            <v>XL</v>
          </cell>
        </row>
        <row r="25">
          <cell r="R25">
            <v>5057949319804</v>
          </cell>
          <cell r="S25" t="str">
            <v>XL</v>
          </cell>
        </row>
        <row r="26">
          <cell r="R26">
            <v>5057949320008</v>
          </cell>
          <cell r="S26" t="str">
            <v>XL</v>
          </cell>
        </row>
        <row r="27">
          <cell r="R27">
            <v>5057949319811</v>
          </cell>
          <cell r="S27" t="str">
            <v>XXL</v>
          </cell>
        </row>
        <row r="28">
          <cell r="R28">
            <v>5057949323153</v>
          </cell>
          <cell r="S28" t="str">
            <v>XL</v>
          </cell>
        </row>
        <row r="29">
          <cell r="R29">
            <v>5057091452374</v>
          </cell>
          <cell r="S29" t="str">
            <v>S</v>
          </cell>
        </row>
        <row r="30">
          <cell r="R30">
            <v>5057091452091</v>
          </cell>
          <cell r="S30" t="str">
            <v>L</v>
          </cell>
        </row>
        <row r="31">
          <cell r="R31">
            <v>5057091452343</v>
          </cell>
          <cell r="S31" t="str">
            <v>L</v>
          </cell>
        </row>
        <row r="32">
          <cell r="R32">
            <v>5057091452190</v>
          </cell>
          <cell r="S32" t="str">
            <v>L</v>
          </cell>
        </row>
        <row r="33">
          <cell r="R33">
            <v>5057091452411</v>
          </cell>
          <cell r="S33" t="str">
            <v>XXL</v>
          </cell>
        </row>
        <row r="34">
          <cell r="R34">
            <v>5057949321234</v>
          </cell>
          <cell r="S34" t="str">
            <v>M</v>
          </cell>
        </row>
        <row r="35">
          <cell r="R35">
            <v>5057949321241</v>
          </cell>
          <cell r="S35" t="str">
            <v>L</v>
          </cell>
        </row>
        <row r="36">
          <cell r="R36">
            <v>5057949321265</v>
          </cell>
          <cell r="S36" t="str">
            <v>XXL</v>
          </cell>
        </row>
        <row r="37">
          <cell r="R37">
            <v>5057949321838</v>
          </cell>
          <cell r="S37" t="str">
            <v>M</v>
          </cell>
        </row>
        <row r="38">
          <cell r="R38">
            <v>5057949319262</v>
          </cell>
          <cell r="S38" t="str">
            <v>M</v>
          </cell>
        </row>
        <row r="39">
          <cell r="R39">
            <v>5057949319286</v>
          </cell>
          <cell r="S39" t="str">
            <v>XL</v>
          </cell>
        </row>
        <row r="40">
          <cell r="R40">
            <v>5057949272239</v>
          </cell>
          <cell r="S40" t="str">
            <v>XL</v>
          </cell>
        </row>
        <row r="41">
          <cell r="R41">
            <v>5057949319385</v>
          </cell>
          <cell r="S41" t="str">
            <v>M</v>
          </cell>
        </row>
        <row r="42">
          <cell r="R42">
            <v>5057949319309</v>
          </cell>
          <cell r="S42" t="str">
            <v>M</v>
          </cell>
        </row>
        <row r="43">
          <cell r="R43">
            <v>5057949319316</v>
          </cell>
          <cell r="S43" t="str">
            <v>L</v>
          </cell>
        </row>
        <row r="44">
          <cell r="R44">
            <v>5057949319293</v>
          </cell>
          <cell r="S44" t="str">
            <v>XXL</v>
          </cell>
        </row>
        <row r="45">
          <cell r="R45">
            <v>5057949319255</v>
          </cell>
          <cell r="S45" t="str">
            <v>XXL</v>
          </cell>
        </row>
        <row r="46">
          <cell r="R46">
            <v>5057949319378</v>
          </cell>
          <cell r="S46" t="str">
            <v>XXL</v>
          </cell>
        </row>
        <row r="47">
          <cell r="R47">
            <v>5057949319415</v>
          </cell>
          <cell r="S47" t="str">
            <v>XXL</v>
          </cell>
        </row>
        <row r="48">
          <cell r="R48">
            <v>5057949319194</v>
          </cell>
          <cell r="S48" t="str">
            <v>M</v>
          </cell>
        </row>
        <row r="49">
          <cell r="R49">
            <v>5057949319200</v>
          </cell>
          <cell r="S49" t="str">
            <v>XL</v>
          </cell>
        </row>
        <row r="50">
          <cell r="R50">
            <v>5057949319330</v>
          </cell>
          <cell r="S50" t="str">
            <v>XXL</v>
          </cell>
        </row>
        <row r="51">
          <cell r="R51">
            <v>5057949319217</v>
          </cell>
          <cell r="S51" t="str">
            <v>XXL</v>
          </cell>
        </row>
        <row r="52">
          <cell r="R52">
            <v>5057949319347</v>
          </cell>
          <cell r="S52" t="str">
            <v>M</v>
          </cell>
        </row>
        <row r="53">
          <cell r="R53">
            <v>5057949319231</v>
          </cell>
          <cell r="S53" t="str">
            <v>M</v>
          </cell>
        </row>
        <row r="54">
          <cell r="R54">
            <v>5057949319279</v>
          </cell>
          <cell r="S54" t="str">
            <v>L</v>
          </cell>
        </row>
        <row r="55">
          <cell r="R55">
            <v>5057949319354</v>
          </cell>
          <cell r="S55" t="str">
            <v>L</v>
          </cell>
        </row>
        <row r="56">
          <cell r="R56">
            <v>5057949319392</v>
          </cell>
          <cell r="S56" t="str">
            <v>L</v>
          </cell>
        </row>
        <row r="57">
          <cell r="R57">
            <v>5057949319224</v>
          </cell>
          <cell r="S57" t="str">
            <v>L</v>
          </cell>
        </row>
        <row r="58">
          <cell r="R58">
            <v>5057949319187</v>
          </cell>
          <cell r="S58" t="str">
            <v>L</v>
          </cell>
        </row>
        <row r="59">
          <cell r="R59">
            <v>5057949319361</v>
          </cell>
          <cell r="S59" t="str">
            <v>XL</v>
          </cell>
        </row>
        <row r="60">
          <cell r="R60">
            <v>5057949319408</v>
          </cell>
          <cell r="S60" t="str">
            <v>XL</v>
          </cell>
        </row>
        <row r="61">
          <cell r="R61">
            <v>5057949319323</v>
          </cell>
          <cell r="S61" t="str">
            <v>XL</v>
          </cell>
        </row>
        <row r="62">
          <cell r="R62">
            <v>5057949319682</v>
          </cell>
          <cell r="S62" t="str">
            <v>M</v>
          </cell>
        </row>
        <row r="63">
          <cell r="R63">
            <v>5057949319699</v>
          </cell>
          <cell r="S63" t="str">
            <v>L</v>
          </cell>
        </row>
        <row r="64">
          <cell r="R64">
            <v>5057949319705</v>
          </cell>
          <cell r="S64" t="str">
            <v>XL</v>
          </cell>
        </row>
        <row r="65">
          <cell r="R65">
            <v>5057949319477</v>
          </cell>
          <cell r="S65" t="str">
            <v>S</v>
          </cell>
        </row>
        <row r="66">
          <cell r="R66">
            <v>5057949319491</v>
          </cell>
          <cell r="S66" t="str">
            <v>L</v>
          </cell>
        </row>
        <row r="67">
          <cell r="R67">
            <v>5057949319507</v>
          </cell>
          <cell r="S67" t="str">
            <v>XL</v>
          </cell>
        </row>
        <row r="68">
          <cell r="R68">
            <v>5057949319576</v>
          </cell>
          <cell r="S68" t="str">
            <v>S</v>
          </cell>
        </row>
        <row r="69">
          <cell r="R69">
            <v>5057949319590</v>
          </cell>
          <cell r="S69" t="str">
            <v>L</v>
          </cell>
        </row>
        <row r="70">
          <cell r="R70">
            <v>5057949319620</v>
          </cell>
          <cell r="S70" t="str">
            <v>S</v>
          </cell>
        </row>
        <row r="71">
          <cell r="R71">
            <v>5057949319637</v>
          </cell>
          <cell r="S71" t="str">
            <v>M</v>
          </cell>
        </row>
        <row r="72">
          <cell r="R72">
            <v>5057949319644</v>
          </cell>
          <cell r="S72" t="str">
            <v>L</v>
          </cell>
        </row>
        <row r="73">
          <cell r="R73">
            <v>5057949319651</v>
          </cell>
          <cell r="S73" t="str">
            <v>XL</v>
          </cell>
        </row>
        <row r="74">
          <cell r="R74">
            <v>5057949319712</v>
          </cell>
          <cell r="S74" t="str">
            <v>XXL</v>
          </cell>
        </row>
        <row r="75">
          <cell r="R75">
            <v>5057949319514</v>
          </cell>
          <cell r="S75" t="str">
            <v>XXL</v>
          </cell>
        </row>
        <row r="76">
          <cell r="R76">
            <v>5057949319613</v>
          </cell>
          <cell r="S76" t="str">
            <v>XXL</v>
          </cell>
        </row>
        <row r="77">
          <cell r="R77">
            <v>5057949319446</v>
          </cell>
          <cell r="S77" t="str">
            <v>S</v>
          </cell>
        </row>
        <row r="78">
          <cell r="R78">
            <v>5057949319439</v>
          </cell>
          <cell r="S78" t="str">
            <v>M</v>
          </cell>
        </row>
        <row r="79">
          <cell r="R79">
            <v>5057949319422</v>
          </cell>
          <cell r="S79" t="str">
            <v>L</v>
          </cell>
        </row>
        <row r="80">
          <cell r="R80">
            <v>5057949319521</v>
          </cell>
          <cell r="S80" t="str">
            <v>S</v>
          </cell>
        </row>
        <row r="81">
          <cell r="R81">
            <v>5057949319538</v>
          </cell>
          <cell r="S81" t="str">
            <v>M</v>
          </cell>
        </row>
        <row r="82">
          <cell r="R82">
            <v>5057949319545</v>
          </cell>
          <cell r="S82" t="str">
            <v>L</v>
          </cell>
        </row>
        <row r="83">
          <cell r="R83">
            <v>5057949319552</v>
          </cell>
          <cell r="S83" t="str">
            <v>XL</v>
          </cell>
        </row>
        <row r="84">
          <cell r="R84">
            <v>5057949319668</v>
          </cell>
          <cell r="S84" t="str">
            <v>XXL</v>
          </cell>
        </row>
        <row r="85">
          <cell r="R85">
            <v>5057949319460</v>
          </cell>
          <cell r="S85" t="str">
            <v>XXL</v>
          </cell>
        </row>
        <row r="86">
          <cell r="R86">
            <v>5057949319569</v>
          </cell>
          <cell r="S86" t="str">
            <v>XXL</v>
          </cell>
        </row>
        <row r="87">
          <cell r="R87">
            <v>5057949319774</v>
          </cell>
          <cell r="S87" t="str">
            <v>S</v>
          </cell>
        </row>
        <row r="88">
          <cell r="R88">
            <v>5057949320077</v>
          </cell>
          <cell r="S88" t="str">
            <v>S</v>
          </cell>
        </row>
        <row r="89">
          <cell r="R89">
            <v>5057949320084</v>
          </cell>
          <cell r="S89" t="str">
            <v>M</v>
          </cell>
        </row>
        <row r="90">
          <cell r="R90">
            <v>5057949320091</v>
          </cell>
          <cell r="S90" t="str">
            <v>L</v>
          </cell>
        </row>
        <row r="91">
          <cell r="R91">
            <v>5057949320107</v>
          </cell>
          <cell r="S91" t="str">
            <v>XL</v>
          </cell>
        </row>
        <row r="92">
          <cell r="R92">
            <v>5057949319972</v>
          </cell>
          <cell r="S92" t="str">
            <v>S</v>
          </cell>
        </row>
        <row r="93">
          <cell r="R93">
            <v>5057949319996</v>
          </cell>
          <cell r="S93" t="str">
            <v>L</v>
          </cell>
        </row>
        <row r="94">
          <cell r="R94">
            <v>5057949319743</v>
          </cell>
          <cell r="S94" t="str">
            <v>S</v>
          </cell>
        </row>
        <row r="95">
          <cell r="R95">
            <v>5057949320114</v>
          </cell>
          <cell r="S95" t="str">
            <v>XXL</v>
          </cell>
        </row>
        <row r="96">
          <cell r="R96">
            <v>5057949320015</v>
          </cell>
          <cell r="S96" t="str">
            <v>XXL</v>
          </cell>
        </row>
        <row r="97">
          <cell r="R97">
            <v>5057949319767</v>
          </cell>
          <cell r="S97" t="str">
            <v>XXL</v>
          </cell>
        </row>
        <row r="98">
          <cell r="R98">
            <v>5057949320176</v>
          </cell>
          <cell r="S98" t="str">
            <v>S</v>
          </cell>
        </row>
        <row r="99">
          <cell r="R99">
            <v>5057949320190</v>
          </cell>
          <cell r="S99" t="str">
            <v>L</v>
          </cell>
        </row>
        <row r="100">
          <cell r="R100">
            <v>5057949320220</v>
          </cell>
          <cell r="S100" t="str">
            <v>S</v>
          </cell>
        </row>
        <row r="101">
          <cell r="R101">
            <v>5057949320237</v>
          </cell>
          <cell r="S101" t="str">
            <v>M</v>
          </cell>
        </row>
        <row r="102">
          <cell r="R102">
            <v>5057949320251</v>
          </cell>
          <cell r="S102" t="str">
            <v>XL</v>
          </cell>
        </row>
        <row r="103">
          <cell r="R103">
            <v>5057949320213</v>
          </cell>
          <cell r="S103" t="str">
            <v>XXL</v>
          </cell>
        </row>
        <row r="104">
          <cell r="R104">
            <v>5057949320268</v>
          </cell>
          <cell r="S104" t="str">
            <v>XXL</v>
          </cell>
        </row>
        <row r="105">
          <cell r="R105">
            <v>5057949320183</v>
          </cell>
          <cell r="S105" t="str">
            <v>M</v>
          </cell>
        </row>
        <row r="106">
          <cell r="R106">
            <v>5057949320244</v>
          </cell>
          <cell r="S106" t="str">
            <v>L</v>
          </cell>
        </row>
        <row r="107">
          <cell r="R107">
            <v>5057949320206</v>
          </cell>
          <cell r="S107" t="str">
            <v>XL</v>
          </cell>
        </row>
        <row r="108">
          <cell r="R108">
            <v>5057949321272</v>
          </cell>
          <cell r="S108" t="str">
            <v>S</v>
          </cell>
        </row>
        <row r="109">
          <cell r="R109">
            <v>5057949321289</v>
          </cell>
          <cell r="S109" t="str">
            <v>M</v>
          </cell>
        </row>
        <row r="110">
          <cell r="R110">
            <v>5057949321296</v>
          </cell>
          <cell r="S110" t="str">
            <v>L</v>
          </cell>
        </row>
        <row r="111">
          <cell r="R111">
            <v>5057949321302</v>
          </cell>
          <cell r="S111" t="str">
            <v>XL</v>
          </cell>
        </row>
        <row r="112">
          <cell r="R112">
            <v>5057949321319</v>
          </cell>
          <cell r="S112" t="str">
            <v>XXL</v>
          </cell>
        </row>
        <row r="113">
          <cell r="R113">
            <v>5057949321258</v>
          </cell>
          <cell r="S113" t="str">
            <v>XL</v>
          </cell>
        </row>
        <row r="114">
          <cell r="R114">
            <v>5057949321470</v>
          </cell>
          <cell r="S114" t="str">
            <v>S</v>
          </cell>
        </row>
        <row r="115">
          <cell r="R115">
            <v>5057949274523</v>
          </cell>
          <cell r="S115" t="str">
            <v>M</v>
          </cell>
        </row>
        <row r="116">
          <cell r="R116">
            <v>5057949321494</v>
          </cell>
          <cell r="S116" t="str">
            <v>L</v>
          </cell>
        </row>
        <row r="117">
          <cell r="R117">
            <v>5057949321500</v>
          </cell>
          <cell r="S117" t="str">
            <v>XL</v>
          </cell>
        </row>
        <row r="118">
          <cell r="R118">
            <v>5057949321524</v>
          </cell>
          <cell r="S118" t="str">
            <v>S</v>
          </cell>
        </row>
        <row r="119">
          <cell r="R119">
            <v>5057949321531</v>
          </cell>
          <cell r="S119" t="str">
            <v>M</v>
          </cell>
        </row>
        <row r="120">
          <cell r="R120">
            <v>5057949321548</v>
          </cell>
          <cell r="S120" t="str">
            <v>L</v>
          </cell>
        </row>
        <row r="121">
          <cell r="R121">
            <v>5057949321555</v>
          </cell>
          <cell r="S121" t="str">
            <v>XL</v>
          </cell>
        </row>
        <row r="122">
          <cell r="R122">
            <v>5057949321517</v>
          </cell>
          <cell r="S122" t="str">
            <v>XXL</v>
          </cell>
        </row>
        <row r="123">
          <cell r="R123">
            <v>5057949321340</v>
          </cell>
          <cell r="S123" t="str">
            <v>S</v>
          </cell>
        </row>
        <row r="124">
          <cell r="R124">
            <v>5057949321562</v>
          </cell>
          <cell r="S124" t="str">
            <v>XXL</v>
          </cell>
        </row>
        <row r="125">
          <cell r="R125">
            <v>5057949321425</v>
          </cell>
          <cell r="S125" t="str">
            <v>S</v>
          </cell>
        </row>
        <row r="126">
          <cell r="R126">
            <v>5057949321432</v>
          </cell>
          <cell r="S126" t="str">
            <v>M</v>
          </cell>
        </row>
        <row r="127">
          <cell r="R127">
            <v>5057949321449</v>
          </cell>
          <cell r="S127" t="str">
            <v>L</v>
          </cell>
        </row>
        <row r="128">
          <cell r="R128">
            <v>5057949321456</v>
          </cell>
          <cell r="S128" t="str">
            <v>XL</v>
          </cell>
        </row>
        <row r="129">
          <cell r="R129">
            <v>5057949321463</v>
          </cell>
          <cell r="S129" t="str">
            <v>XXL</v>
          </cell>
        </row>
        <row r="130">
          <cell r="R130">
            <v>5057949321333</v>
          </cell>
          <cell r="S130" t="str">
            <v>M</v>
          </cell>
        </row>
        <row r="131">
          <cell r="R131">
            <v>5057949321326</v>
          </cell>
          <cell r="S131" t="str">
            <v>L</v>
          </cell>
        </row>
        <row r="132">
          <cell r="R132">
            <v>5057949321357</v>
          </cell>
          <cell r="S132" t="str">
            <v>XL</v>
          </cell>
        </row>
        <row r="133">
          <cell r="R133">
            <v>5057949321364</v>
          </cell>
          <cell r="S133" t="str">
            <v>XXL</v>
          </cell>
        </row>
        <row r="134">
          <cell r="R134">
            <v>5057949321791</v>
          </cell>
          <cell r="S134" t="str">
            <v>S</v>
          </cell>
        </row>
        <row r="135">
          <cell r="R135">
            <v>5057949321784</v>
          </cell>
          <cell r="S135" t="str">
            <v>M</v>
          </cell>
        </row>
        <row r="136">
          <cell r="R136">
            <v>5057949321777</v>
          </cell>
          <cell r="S136" t="str">
            <v>L</v>
          </cell>
        </row>
        <row r="137">
          <cell r="R137">
            <v>5057949321807</v>
          </cell>
          <cell r="S137" t="str">
            <v>XL</v>
          </cell>
        </row>
        <row r="138">
          <cell r="R138">
            <v>5057949321814</v>
          </cell>
          <cell r="S138" t="str">
            <v>XXL</v>
          </cell>
        </row>
        <row r="139">
          <cell r="R139">
            <v>5057949321821</v>
          </cell>
          <cell r="S139" t="str">
            <v>S</v>
          </cell>
        </row>
        <row r="140">
          <cell r="R140">
            <v>5057949321845</v>
          </cell>
          <cell r="S140" t="str">
            <v>L</v>
          </cell>
        </row>
        <row r="141">
          <cell r="R141">
            <v>5057949321852</v>
          </cell>
          <cell r="S141" t="str">
            <v>XL</v>
          </cell>
        </row>
        <row r="142">
          <cell r="R142">
            <v>5057949321869</v>
          </cell>
          <cell r="S142" t="str">
            <v>XXL</v>
          </cell>
        </row>
        <row r="143">
          <cell r="R143">
            <v>5057949322897</v>
          </cell>
          <cell r="S143" t="str">
            <v>L</v>
          </cell>
        </row>
        <row r="144">
          <cell r="R144">
            <v>5057949322903</v>
          </cell>
          <cell r="S144" t="str">
            <v>XL</v>
          </cell>
        </row>
        <row r="145">
          <cell r="R145">
            <v>5057949322828</v>
          </cell>
          <cell r="S145" t="str">
            <v>S</v>
          </cell>
        </row>
        <row r="146">
          <cell r="R146">
            <v>5057949322835</v>
          </cell>
          <cell r="S146" t="str">
            <v>M</v>
          </cell>
        </row>
        <row r="147">
          <cell r="R147">
            <v>5057949322842</v>
          </cell>
          <cell r="S147" t="str">
            <v>L</v>
          </cell>
        </row>
        <row r="148">
          <cell r="R148">
            <v>5057949322859</v>
          </cell>
          <cell r="S148" t="str">
            <v>XL</v>
          </cell>
        </row>
        <row r="149">
          <cell r="R149">
            <v>5057949322736</v>
          </cell>
          <cell r="S149" t="str">
            <v>M</v>
          </cell>
        </row>
        <row r="150">
          <cell r="R150">
            <v>5057949322743</v>
          </cell>
          <cell r="S150" t="str">
            <v>L</v>
          </cell>
        </row>
        <row r="151">
          <cell r="R151">
            <v>5057949322750</v>
          </cell>
          <cell r="S151" t="str">
            <v>XL</v>
          </cell>
        </row>
        <row r="152">
          <cell r="R152">
            <v>5057949322774</v>
          </cell>
          <cell r="S152" t="str">
            <v>S</v>
          </cell>
        </row>
        <row r="153">
          <cell r="R153">
            <v>5057949322798</v>
          </cell>
          <cell r="S153" t="str">
            <v>L</v>
          </cell>
        </row>
        <row r="154">
          <cell r="R154">
            <v>5057949322804</v>
          </cell>
          <cell r="S154" t="str">
            <v>XL</v>
          </cell>
        </row>
        <row r="155">
          <cell r="R155">
            <v>5057949322873</v>
          </cell>
          <cell r="S155" t="str">
            <v>S</v>
          </cell>
        </row>
        <row r="156">
          <cell r="R156">
            <v>5057949322880</v>
          </cell>
          <cell r="S156" t="str">
            <v>M</v>
          </cell>
        </row>
        <row r="157">
          <cell r="R157">
            <v>5057949322729</v>
          </cell>
          <cell r="S157" t="str">
            <v>S</v>
          </cell>
        </row>
        <row r="158">
          <cell r="R158">
            <v>5057949322866</v>
          </cell>
          <cell r="S158" t="str">
            <v>XXL</v>
          </cell>
        </row>
        <row r="159">
          <cell r="R159">
            <v>5057949322767</v>
          </cell>
          <cell r="S159" t="str">
            <v>XXL</v>
          </cell>
        </row>
        <row r="160">
          <cell r="R160">
            <v>5057949322927</v>
          </cell>
          <cell r="S160" t="str">
            <v>S</v>
          </cell>
        </row>
        <row r="161">
          <cell r="R161">
            <v>5057949322934</v>
          </cell>
          <cell r="S161" t="str">
            <v>M</v>
          </cell>
        </row>
        <row r="162">
          <cell r="R162">
            <v>5057949322941</v>
          </cell>
          <cell r="S162" t="str">
            <v>L</v>
          </cell>
        </row>
        <row r="163">
          <cell r="R163">
            <v>5057949322958</v>
          </cell>
          <cell r="S163" t="str">
            <v>XL</v>
          </cell>
        </row>
        <row r="164">
          <cell r="R164">
            <v>5057949322965</v>
          </cell>
          <cell r="S164" t="str">
            <v>XXL</v>
          </cell>
        </row>
        <row r="165">
          <cell r="R165">
            <v>5057949322910</v>
          </cell>
          <cell r="S165" t="str">
            <v>XXL</v>
          </cell>
        </row>
        <row r="166">
          <cell r="R166">
            <v>5057949322781</v>
          </cell>
          <cell r="S166" t="str">
            <v>M</v>
          </cell>
        </row>
        <row r="167">
          <cell r="R167">
            <v>5057949322811</v>
          </cell>
          <cell r="S167" t="str">
            <v>XXL</v>
          </cell>
        </row>
        <row r="168">
          <cell r="R168">
            <v>5057949323139</v>
          </cell>
          <cell r="S168" t="str">
            <v>M</v>
          </cell>
        </row>
        <row r="169">
          <cell r="R169">
            <v>5057949323146</v>
          </cell>
          <cell r="S169" t="str">
            <v>L</v>
          </cell>
        </row>
        <row r="170">
          <cell r="R170">
            <v>5057949323085</v>
          </cell>
          <cell r="S170" t="str">
            <v>M</v>
          </cell>
        </row>
        <row r="171">
          <cell r="R171">
            <v>5057949323092</v>
          </cell>
          <cell r="S171" t="str">
            <v>L</v>
          </cell>
        </row>
        <row r="172">
          <cell r="R172">
            <v>5057949323108</v>
          </cell>
          <cell r="S172" t="str">
            <v>XL</v>
          </cell>
        </row>
        <row r="173">
          <cell r="R173">
            <v>5057949323122</v>
          </cell>
          <cell r="S173" t="str">
            <v>S</v>
          </cell>
        </row>
        <row r="174">
          <cell r="R174">
            <v>5057949323078</v>
          </cell>
          <cell r="S174" t="str">
            <v>S</v>
          </cell>
        </row>
        <row r="175">
          <cell r="R175">
            <v>5057949323023</v>
          </cell>
          <cell r="S175" t="str">
            <v>S</v>
          </cell>
        </row>
        <row r="176">
          <cell r="R176">
            <v>5057949323030</v>
          </cell>
          <cell r="S176" t="str">
            <v>M</v>
          </cell>
        </row>
        <row r="177">
          <cell r="R177">
            <v>5057949323047</v>
          </cell>
          <cell r="S177" t="str">
            <v>L</v>
          </cell>
        </row>
        <row r="178">
          <cell r="R178">
            <v>5057949323054</v>
          </cell>
          <cell r="S178" t="str">
            <v>XL</v>
          </cell>
        </row>
        <row r="179">
          <cell r="R179">
            <v>5057949323160</v>
          </cell>
          <cell r="S179" t="str">
            <v>XXL</v>
          </cell>
        </row>
        <row r="180">
          <cell r="R180">
            <v>5057949323115</v>
          </cell>
          <cell r="S180" t="str">
            <v>XXL</v>
          </cell>
        </row>
        <row r="181">
          <cell r="R181">
            <v>5057949323061</v>
          </cell>
          <cell r="S181" t="str">
            <v>XXL</v>
          </cell>
        </row>
        <row r="182">
          <cell r="R182">
            <v>5057091448810</v>
          </cell>
          <cell r="S182" t="str">
            <v>S</v>
          </cell>
        </row>
        <row r="183">
          <cell r="R183">
            <v>5057091448827</v>
          </cell>
          <cell r="S183" t="str">
            <v>M</v>
          </cell>
        </row>
        <row r="184">
          <cell r="R184">
            <v>5057091448933</v>
          </cell>
          <cell r="S184" t="str">
            <v>L</v>
          </cell>
        </row>
        <row r="185">
          <cell r="R185">
            <v>5057091449114</v>
          </cell>
          <cell r="S185" t="str">
            <v>S</v>
          </cell>
        </row>
        <row r="186">
          <cell r="R186">
            <v>5057091448858</v>
          </cell>
          <cell r="S186" t="str">
            <v>XXL</v>
          </cell>
        </row>
        <row r="187">
          <cell r="R187">
            <v>5057091449220</v>
          </cell>
          <cell r="S187" t="str">
            <v>M</v>
          </cell>
        </row>
        <row r="188">
          <cell r="R188">
            <v>5057091449312</v>
          </cell>
          <cell r="S188" t="str">
            <v>S</v>
          </cell>
        </row>
        <row r="189">
          <cell r="R189">
            <v>5057091449343</v>
          </cell>
          <cell r="S189" t="str">
            <v>XL</v>
          </cell>
        </row>
        <row r="190">
          <cell r="R190">
            <v>5057091449473</v>
          </cell>
          <cell r="S190" t="str">
            <v>M</v>
          </cell>
        </row>
        <row r="191">
          <cell r="R191">
            <v>5057091449510</v>
          </cell>
          <cell r="S191" t="str">
            <v>S</v>
          </cell>
        </row>
        <row r="192">
          <cell r="R192">
            <v>5057091449527</v>
          </cell>
          <cell r="S192" t="str">
            <v>M</v>
          </cell>
        </row>
        <row r="193">
          <cell r="R193">
            <v>5057091449558</v>
          </cell>
          <cell r="S193" t="str">
            <v>XXL</v>
          </cell>
        </row>
        <row r="194">
          <cell r="R194">
            <v>5057091449763</v>
          </cell>
          <cell r="S194" t="str">
            <v>S</v>
          </cell>
        </row>
        <row r="195">
          <cell r="R195">
            <v>5057091449770</v>
          </cell>
          <cell r="S195" t="str">
            <v>M</v>
          </cell>
        </row>
        <row r="196">
          <cell r="R196">
            <v>5057091449718</v>
          </cell>
          <cell r="S196" t="str">
            <v>S</v>
          </cell>
        </row>
        <row r="197">
          <cell r="R197">
            <v>5057091450226</v>
          </cell>
          <cell r="S197" t="str">
            <v>S</v>
          </cell>
        </row>
        <row r="198">
          <cell r="R198">
            <v>5057091450271</v>
          </cell>
          <cell r="S198" t="str">
            <v>S</v>
          </cell>
        </row>
        <row r="199">
          <cell r="R199">
            <v>5057091450288</v>
          </cell>
          <cell r="S199" t="str">
            <v>M</v>
          </cell>
        </row>
        <row r="200">
          <cell r="R200">
            <v>5057091450370</v>
          </cell>
          <cell r="S200" t="str">
            <v>S</v>
          </cell>
        </row>
        <row r="201">
          <cell r="R201">
            <v>5057091450332</v>
          </cell>
          <cell r="S201" t="str">
            <v>M</v>
          </cell>
        </row>
        <row r="202">
          <cell r="R202">
            <v>5057091450325</v>
          </cell>
          <cell r="S202" t="str">
            <v>S</v>
          </cell>
        </row>
        <row r="203">
          <cell r="R203">
            <v>5057091450356</v>
          </cell>
          <cell r="S203" t="str">
            <v>XL</v>
          </cell>
        </row>
        <row r="204">
          <cell r="R204">
            <v>5057091450417</v>
          </cell>
          <cell r="S204" t="str">
            <v>XXL</v>
          </cell>
        </row>
        <row r="205">
          <cell r="R205">
            <v>5057091450363</v>
          </cell>
          <cell r="S205" t="str">
            <v>XXL</v>
          </cell>
        </row>
        <row r="206">
          <cell r="R206">
            <v>5057091450479</v>
          </cell>
          <cell r="S206" t="str">
            <v>S</v>
          </cell>
        </row>
        <row r="207">
          <cell r="R207">
            <v>5057091450431</v>
          </cell>
          <cell r="S207" t="str">
            <v>M</v>
          </cell>
        </row>
        <row r="208">
          <cell r="R208">
            <v>5057091450424</v>
          </cell>
          <cell r="S208" t="str">
            <v>S</v>
          </cell>
        </row>
        <row r="209">
          <cell r="R209">
            <v>5057091450516</v>
          </cell>
          <cell r="S209" t="str">
            <v>XXL</v>
          </cell>
        </row>
        <row r="210">
          <cell r="R210">
            <v>5057091450482</v>
          </cell>
          <cell r="S210" t="str">
            <v>XXL</v>
          </cell>
        </row>
        <row r="211">
          <cell r="R211">
            <v>5057091450523</v>
          </cell>
          <cell r="S211" t="str">
            <v>S</v>
          </cell>
        </row>
        <row r="212">
          <cell r="R212">
            <v>5057091450721</v>
          </cell>
          <cell r="S212" t="str">
            <v>S</v>
          </cell>
        </row>
        <row r="213">
          <cell r="R213">
            <v>5057091450882</v>
          </cell>
          <cell r="S213" t="str">
            <v>M</v>
          </cell>
        </row>
        <row r="214">
          <cell r="R214">
            <v>5057091450905</v>
          </cell>
          <cell r="S214" t="str">
            <v>XL</v>
          </cell>
        </row>
        <row r="215">
          <cell r="R215">
            <v>5057091451032</v>
          </cell>
          <cell r="S215" t="str">
            <v>M</v>
          </cell>
        </row>
        <row r="216">
          <cell r="R216">
            <v>5057091451049</v>
          </cell>
          <cell r="S216" t="str">
            <v>L</v>
          </cell>
        </row>
        <row r="217">
          <cell r="R217">
            <v>5057091451056</v>
          </cell>
          <cell r="S217" t="str">
            <v>XL</v>
          </cell>
        </row>
        <row r="218">
          <cell r="R218">
            <v>5057091450875</v>
          </cell>
          <cell r="S218" t="str">
            <v>S</v>
          </cell>
        </row>
        <row r="219">
          <cell r="R219">
            <v>5057091450974</v>
          </cell>
          <cell r="S219" t="str">
            <v>S</v>
          </cell>
        </row>
        <row r="220">
          <cell r="R220">
            <v>5057091450981</v>
          </cell>
          <cell r="S220" t="str">
            <v>M</v>
          </cell>
        </row>
        <row r="221">
          <cell r="R221">
            <v>5057091451025</v>
          </cell>
          <cell r="S221" t="str">
            <v>S</v>
          </cell>
        </row>
        <row r="222">
          <cell r="R222">
            <v>5057091451063</v>
          </cell>
          <cell r="S222" t="str">
            <v>XXL</v>
          </cell>
        </row>
        <row r="223">
          <cell r="R223">
            <v>5057091451094</v>
          </cell>
          <cell r="S223" t="str">
            <v>L</v>
          </cell>
        </row>
        <row r="224">
          <cell r="R224">
            <v>5057091451179</v>
          </cell>
          <cell r="S224" t="str">
            <v>S</v>
          </cell>
        </row>
        <row r="225">
          <cell r="R225">
            <v>5057091451421</v>
          </cell>
          <cell r="S225" t="str">
            <v>S</v>
          </cell>
        </row>
        <row r="226">
          <cell r="R226">
            <v>5057091451575</v>
          </cell>
          <cell r="S226" t="str">
            <v>S</v>
          </cell>
        </row>
        <row r="227">
          <cell r="R227">
            <v>5057091451599</v>
          </cell>
          <cell r="S227" t="str">
            <v>L</v>
          </cell>
        </row>
        <row r="228">
          <cell r="R228">
            <v>9057091451650</v>
          </cell>
          <cell r="S228" t="str">
            <v>XL</v>
          </cell>
        </row>
        <row r="229">
          <cell r="R229">
            <v>5057091452381</v>
          </cell>
          <cell r="S229" t="str">
            <v>M</v>
          </cell>
        </row>
        <row r="230">
          <cell r="R230">
            <v>5057091452398</v>
          </cell>
          <cell r="S230" t="str">
            <v>L</v>
          </cell>
        </row>
        <row r="231">
          <cell r="R231">
            <v>5057091452404</v>
          </cell>
          <cell r="S231" t="str">
            <v>XL</v>
          </cell>
        </row>
        <row r="232">
          <cell r="R232">
            <v>5057091453081</v>
          </cell>
          <cell r="S232" t="str">
            <v>M</v>
          </cell>
        </row>
        <row r="233">
          <cell r="R233">
            <v>5057091453098</v>
          </cell>
          <cell r="S233" t="str">
            <v>L</v>
          </cell>
        </row>
        <row r="234">
          <cell r="R234">
            <v>5057091453104</v>
          </cell>
          <cell r="S234" t="str">
            <v>XL</v>
          </cell>
        </row>
        <row r="235">
          <cell r="R235">
            <v>5057091452985</v>
          </cell>
          <cell r="S235" t="str">
            <v>M</v>
          </cell>
        </row>
        <row r="236">
          <cell r="R236">
            <v>5057091452992</v>
          </cell>
          <cell r="S236" t="str">
            <v>L</v>
          </cell>
        </row>
        <row r="237">
          <cell r="R237">
            <v>5057091453005</v>
          </cell>
          <cell r="S237" t="str">
            <v>XL</v>
          </cell>
        </row>
        <row r="238">
          <cell r="R238">
            <v>5057091453029</v>
          </cell>
          <cell r="S238" t="str">
            <v>S</v>
          </cell>
        </row>
        <row r="239">
          <cell r="R239">
            <v>5057091453074</v>
          </cell>
          <cell r="S239" t="str">
            <v>S</v>
          </cell>
        </row>
        <row r="240">
          <cell r="R240">
            <v>5057091453111</v>
          </cell>
          <cell r="S240" t="str">
            <v>XXL</v>
          </cell>
        </row>
        <row r="241">
          <cell r="R241">
            <v>5057091453012</v>
          </cell>
          <cell r="S241" t="str">
            <v>XXL</v>
          </cell>
        </row>
        <row r="242">
          <cell r="R242">
            <v>5057091453067</v>
          </cell>
          <cell r="S242" t="str">
            <v>XXL</v>
          </cell>
        </row>
        <row r="243">
          <cell r="R243">
            <v>5057091450165</v>
          </cell>
          <cell r="S243" t="str">
            <v>XL</v>
          </cell>
        </row>
        <row r="244">
          <cell r="R244">
            <v>5057091450080</v>
          </cell>
          <cell r="S244" t="str">
            <v>XL</v>
          </cell>
        </row>
        <row r="245">
          <cell r="R245">
            <v>5057091450127</v>
          </cell>
          <cell r="S245" t="str">
            <v>XL</v>
          </cell>
        </row>
        <row r="246">
          <cell r="R246">
            <v>5057091450202</v>
          </cell>
          <cell r="S246" t="str">
            <v>XL</v>
          </cell>
        </row>
        <row r="247">
          <cell r="R247">
            <v>5057091450097</v>
          </cell>
          <cell r="S247" t="str">
            <v>XXL</v>
          </cell>
        </row>
        <row r="248">
          <cell r="R248">
            <v>5057091450103</v>
          </cell>
          <cell r="S248" t="str">
            <v>M</v>
          </cell>
        </row>
        <row r="249">
          <cell r="R249">
            <v>5057091450189</v>
          </cell>
          <cell r="S249" t="str">
            <v>M</v>
          </cell>
        </row>
        <row r="250">
          <cell r="R250">
            <v>5057091450196</v>
          </cell>
          <cell r="S250" t="str">
            <v>L</v>
          </cell>
        </row>
        <row r="251">
          <cell r="R251">
            <v>5057091450219</v>
          </cell>
          <cell r="S251" t="str">
            <v>XXL</v>
          </cell>
        </row>
        <row r="252">
          <cell r="R252">
            <v>5057091450066</v>
          </cell>
          <cell r="S252" t="str">
            <v>M</v>
          </cell>
        </row>
        <row r="253">
          <cell r="R253">
            <v>5057091450073</v>
          </cell>
          <cell r="S253" t="str">
            <v>L</v>
          </cell>
        </row>
        <row r="254">
          <cell r="R254">
            <v>5057091450110</v>
          </cell>
          <cell r="S254" t="str">
            <v>L</v>
          </cell>
        </row>
        <row r="255">
          <cell r="R255">
            <v>5057949158250</v>
          </cell>
          <cell r="S255" t="str">
            <v>S</v>
          </cell>
        </row>
        <row r="256">
          <cell r="R256">
            <v>5057949158298</v>
          </cell>
          <cell r="S256" t="str">
            <v>M</v>
          </cell>
        </row>
        <row r="257">
          <cell r="R257">
            <v>5057949158281</v>
          </cell>
          <cell r="S257" t="str">
            <v>L</v>
          </cell>
        </row>
        <row r="258">
          <cell r="R258">
            <v>5057949158274</v>
          </cell>
          <cell r="S258" t="str">
            <v>XL</v>
          </cell>
        </row>
        <row r="259">
          <cell r="R259">
            <v>5057949158342</v>
          </cell>
          <cell r="S259" t="str">
            <v>S</v>
          </cell>
        </row>
        <row r="260">
          <cell r="R260">
            <v>5057949158335</v>
          </cell>
          <cell r="S260" t="str">
            <v>M</v>
          </cell>
        </row>
        <row r="261">
          <cell r="R261">
            <v>5057949158328</v>
          </cell>
          <cell r="S261" t="str">
            <v>L</v>
          </cell>
        </row>
        <row r="262">
          <cell r="R262">
            <v>5057949158311</v>
          </cell>
          <cell r="S262" t="str">
            <v>XL</v>
          </cell>
        </row>
        <row r="263">
          <cell r="R263">
            <v>5057949158304</v>
          </cell>
          <cell r="S263" t="str">
            <v>XXL</v>
          </cell>
        </row>
        <row r="264">
          <cell r="R264">
            <v>5057949158267</v>
          </cell>
          <cell r="S264" t="str">
            <v>XXL</v>
          </cell>
        </row>
        <row r="265">
          <cell r="R265">
            <v>5057949104059</v>
          </cell>
          <cell r="S265" t="str">
            <v>S</v>
          </cell>
        </row>
        <row r="266">
          <cell r="R266">
            <v>5057949104066</v>
          </cell>
          <cell r="S266" t="str">
            <v>XXL</v>
          </cell>
        </row>
        <row r="267">
          <cell r="R267">
            <v>5057949158014</v>
          </cell>
          <cell r="S267" t="str">
            <v>M</v>
          </cell>
        </row>
        <row r="268">
          <cell r="R268">
            <v>5057949157970</v>
          </cell>
          <cell r="S268" t="str">
            <v>M</v>
          </cell>
        </row>
        <row r="269">
          <cell r="R269">
            <v>5057949158113</v>
          </cell>
          <cell r="S269" t="str">
            <v>M</v>
          </cell>
        </row>
        <row r="270">
          <cell r="R270">
            <v>5057949158069</v>
          </cell>
          <cell r="S270" t="str">
            <v>M</v>
          </cell>
        </row>
        <row r="271">
          <cell r="R271">
            <v>5057091450134</v>
          </cell>
          <cell r="S271" t="str">
            <v>XXL</v>
          </cell>
        </row>
        <row r="272">
          <cell r="R272">
            <v>5057949157765</v>
          </cell>
          <cell r="S272" t="str">
            <v>M</v>
          </cell>
        </row>
        <row r="273">
          <cell r="R273">
            <v>5057949157758</v>
          </cell>
          <cell r="S273" t="str">
            <v>L</v>
          </cell>
        </row>
        <row r="274">
          <cell r="R274">
            <v>5057949157741</v>
          </cell>
          <cell r="S274" t="str">
            <v>XL</v>
          </cell>
        </row>
        <row r="275">
          <cell r="R275">
            <v>5057949157734</v>
          </cell>
          <cell r="S275" t="str">
            <v>XXL</v>
          </cell>
        </row>
        <row r="276">
          <cell r="R276">
            <v>5057949157918</v>
          </cell>
          <cell r="S276" t="str">
            <v>S</v>
          </cell>
        </row>
        <row r="277">
          <cell r="R277">
            <v>5057949157901</v>
          </cell>
          <cell r="S277" t="str">
            <v>M</v>
          </cell>
        </row>
        <row r="278">
          <cell r="R278">
            <v>5057949157895</v>
          </cell>
          <cell r="S278" t="str">
            <v>L</v>
          </cell>
        </row>
        <row r="279">
          <cell r="R279">
            <v>5057949157888</v>
          </cell>
          <cell r="S279" t="str">
            <v>XL</v>
          </cell>
        </row>
        <row r="280">
          <cell r="R280">
            <v>5057949157871</v>
          </cell>
          <cell r="S280" t="str">
            <v>XXL</v>
          </cell>
        </row>
        <row r="281">
          <cell r="R281">
            <v>5057949157727</v>
          </cell>
          <cell r="S281" t="str">
            <v>S</v>
          </cell>
        </row>
        <row r="282">
          <cell r="R282">
            <v>5057949157819</v>
          </cell>
          <cell r="S282" t="str">
            <v>S</v>
          </cell>
        </row>
        <row r="283">
          <cell r="R283">
            <v>5057949157802</v>
          </cell>
          <cell r="S283" t="str">
            <v>M</v>
          </cell>
        </row>
        <row r="284">
          <cell r="R284">
            <v>5057949157796</v>
          </cell>
          <cell r="S284" t="str">
            <v>L</v>
          </cell>
        </row>
        <row r="285">
          <cell r="R285">
            <v>5057949157789</v>
          </cell>
          <cell r="S285" t="str">
            <v>XL</v>
          </cell>
        </row>
        <row r="286">
          <cell r="R286">
            <v>5057949157772</v>
          </cell>
          <cell r="S286" t="str">
            <v>XXL</v>
          </cell>
        </row>
        <row r="287">
          <cell r="R287">
            <v>5057949157857</v>
          </cell>
          <cell r="S287" t="str">
            <v>M</v>
          </cell>
        </row>
        <row r="288">
          <cell r="R288">
            <v>5057949157840</v>
          </cell>
          <cell r="S288" t="str">
            <v>L</v>
          </cell>
        </row>
        <row r="289">
          <cell r="R289">
            <v>5057949157833</v>
          </cell>
          <cell r="S289" t="str">
            <v>XL</v>
          </cell>
        </row>
        <row r="290">
          <cell r="R290">
            <v>5057949157826</v>
          </cell>
          <cell r="S290" t="str">
            <v>XXL</v>
          </cell>
        </row>
        <row r="291">
          <cell r="R291">
            <v>9057949126006</v>
          </cell>
          <cell r="S291" t="str">
            <v>S</v>
          </cell>
        </row>
        <row r="292">
          <cell r="R292">
            <v>9057949126044</v>
          </cell>
          <cell r="S292" t="str">
            <v>M</v>
          </cell>
        </row>
        <row r="293">
          <cell r="R293">
            <v>9057949126037</v>
          </cell>
          <cell r="S293" t="str">
            <v>L</v>
          </cell>
        </row>
        <row r="294">
          <cell r="R294">
            <v>9057949126020</v>
          </cell>
          <cell r="S294" t="str">
            <v>XL</v>
          </cell>
        </row>
        <row r="295">
          <cell r="R295">
            <v>9057949126013</v>
          </cell>
          <cell r="S295" t="str">
            <v>XXL</v>
          </cell>
        </row>
        <row r="296">
          <cell r="R296">
            <v>5057949126884</v>
          </cell>
          <cell r="S296" t="str">
            <v>XL</v>
          </cell>
        </row>
        <row r="297">
          <cell r="R297">
            <v>5057949126730</v>
          </cell>
          <cell r="S297" t="str">
            <v>XXL</v>
          </cell>
        </row>
        <row r="298">
          <cell r="R298">
            <v>5057949126907</v>
          </cell>
          <cell r="S298" t="str">
            <v>M</v>
          </cell>
        </row>
        <row r="299">
          <cell r="R299">
            <v>5057949126747</v>
          </cell>
          <cell r="S299" t="str">
            <v>XL</v>
          </cell>
        </row>
        <row r="300">
          <cell r="R300">
            <v>5057949126617</v>
          </cell>
          <cell r="S300" t="str">
            <v>S</v>
          </cell>
        </row>
        <row r="301">
          <cell r="R301">
            <v>5057949126570</v>
          </cell>
          <cell r="S301" t="str">
            <v>XXL</v>
          </cell>
        </row>
        <row r="302">
          <cell r="R302">
            <v>5057949127249</v>
          </cell>
          <cell r="S302" t="str">
            <v>M</v>
          </cell>
        </row>
        <row r="303">
          <cell r="R303">
            <v>5057949127232</v>
          </cell>
          <cell r="S303" t="str">
            <v>L</v>
          </cell>
        </row>
        <row r="304">
          <cell r="R304">
            <v>5057949127218</v>
          </cell>
          <cell r="S304" t="str">
            <v>XXL</v>
          </cell>
        </row>
        <row r="305">
          <cell r="R305">
            <v>5057949221992</v>
          </cell>
          <cell r="S305" t="str">
            <v>S</v>
          </cell>
        </row>
        <row r="306">
          <cell r="R306">
            <v>5057949222197</v>
          </cell>
          <cell r="S306" t="str">
            <v>S</v>
          </cell>
        </row>
        <row r="307">
          <cell r="R307">
            <v>5057949222210</v>
          </cell>
          <cell r="S307" t="str">
            <v>L</v>
          </cell>
        </row>
        <row r="308">
          <cell r="R308">
            <v>5057949222227</v>
          </cell>
          <cell r="S308" t="str">
            <v>XL</v>
          </cell>
        </row>
        <row r="309">
          <cell r="R309">
            <v>5057091448575</v>
          </cell>
          <cell r="S309">
            <v>36</v>
          </cell>
        </row>
        <row r="310">
          <cell r="R310">
            <v>5057091448582</v>
          </cell>
          <cell r="S310" t="str">
            <v>W38</v>
          </cell>
        </row>
        <row r="311">
          <cell r="R311">
            <v>5057091448629</v>
          </cell>
          <cell r="S311" t="str">
            <v>W36</v>
          </cell>
        </row>
        <row r="312">
          <cell r="R312">
            <v>5057091448636</v>
          </cell>
          <cell r="S312" t="str">
            <v>W38</v>
          </cell>
        </row>
        <row r="313">
          <cell r="R313">
            <v>5057091448728</v>
          </cell>
          <cell r="S313">
            <v>36</v>
          </cell>
        </row>
        <row r="314">
          <cell r="R314">
            <v>5057091448735</v>
          </cell>
          <cell r="S314">
            <v>38</v>
          </cell>
        </row>
        <row r="315">
          <cell r="R315">
            <v>5057091448742</v>
          </cell>
          <cell r="S315">
            <v>40</v>
          </cell>
        </row>
        <row r="316">
          <cell r="R316">
            <v>5057091448643</v>
          </cell>
          <cell r="S316">
            <v>40</v>
          </cell>
        </row>
        <row r="317">
          <cell r="R317">
            <v>5057091448599</v>
          </cell>
          <cell r="S317">
            <v>40</v>
          </cell>
        </row>
        <row r="318">
          <cell r="R318">
            <v>5057091448568</v>
          </cell>
          <cell r="S318" t="str">
            <v>W34</v>
          </cell>
        </row>
        <row r="319">
          <cell r="R319">
            <v>5057091448650</v>
          </cell>
          <cell r="S319">
            <v>42</v>
          </cell>
        </row>
        <row r="320">
          <cell r="R320">
            <v>5057091448612</v>
          </cell>
          <cell r="S320" t="str">
            <v>W34</v>
          </cell>
        </row>
        <row r="321">
          <cell r="R321">
            <v>5057091448711</v>
          </cell>
          <cell r="S321">
            <v>34</v>
          </cell>
        </row>
        <row r="322">
          <cell r="R322">
            <v>5057091448605</v>
          </cell>
          <cell r="S322">
            <v>42</v>
          </cell>
        </row>
        <row r="323">
          <cell r="R323">
            <v>5057091448759</v>
          </cell>
          <cell r="S323">
            <v>42</v>
          </cell>
        </row>
        <row r="324">
          <cell r="R324">
            <v>5057949159967</v>
          </cell>
          <cell r="S324" t="str">
            <v>S</v>
          </cell>
        </row>
        <row r="325">
          <cell r="R325">
            <v>5057949159950</v>
          </cell>
          <cell r="S325" t="str">
            <v>M</v>
          </cell>
        </row>
        <row r="326">
          <cell r="R326">
            <v>5057949159943</v>
          </cell>
          <cell r="S326" t="str">
            <v>L</v>
          </cell>
        </row>
        <row r="327">
          <cell r="R327">
            <v>5057949159936</v>
          </cell>
          <cell r="S327" t="str">
            <v>XL</v>
          </cell>
        </row>
        <row r="328">
          <cell r="R328">
            <v>5057949159929</v>
          </cell>
          <cell r="S328" t="str">
            <v>XXL</v>
          </cell>
        </row>
        <row r="329">
          <cell r="R329">
            <v>5057949160109</v>
          </cell>
          <cell r="S329" t="str">
            <v>S</v>
          </cell>
        </row>
        <row r="330">
          <cell r="R330">
            <v>5057949160093</v>
          </cell>
          <cell r="S330" t="str">
            <v>M</v>
          </cell>
        </row>
        <row r="331">
          <cell r="R331">
            <v>5057949160086</v>
          </cell>
          <cell r="S331" t="str">
            <v>L</v>
          </cell>
        </row>
        <row r="332">
          <cell r="R332">
            <v>5057949160079</v>
          </cell>
          <cell r="S332" t="str">
            <v>XL</v>
          </cell>
        </row>
        <row r="333">
          <cell r="R333">
            <v>5057949160062</v>
          </cell>
          <cell r="S333" t="str">
            <v>XXL</v>
          </cell>
        </row>
        <row r="334">
          <cell r="R334">
            <v>5057949160055</v>
          </cell>
          <cell r="S334" t="str">
            <v>S</v>
          </cell>
        </row>
        <row r="335">
          <cell r="R335">
            <v>5057949159660</v>
          </cell>
          <cell r="S335" t="str">
            <v>M</v>
          </cell>
        </row>
        <row r="336">
          <cell r="R336">
            <v>5057949159653</v>
          </cell>
          <cell r="S336" t="str">
            <v>L</v>
          </cell>
        </row>
        <row r="337">
          <cell r="R337">
            <v>5057949159646</v>
          </cell>
          <cell r="S337" t="str">
            <v>XL</v>
          </cell>
        </row>
        <row r="338">
          <cell r="R338">
            <v>5057949159905</v>
          </cell>
          <cell r="S338" t="str">
            <v>M</v>
          </cell>
        </row>
        <row r="339">
          <cell r="R339">
            <v>5057949159912</v>
          </cell>
          <cell r="S339" t="str">
            <v>S</v>
          </cell>
        </row>
        <row r="340">
          <cell r="R340">
            <v>5057949230840</v>
          </cell>
          <cell r="S340" t="str">
            <v>S</v>
          </cell>
        </row>
        <row r="341">
          <cell r="R341">
            <v>5057949230871</v>
          </cell>
          <cell r="S341" t="str">
            <v>XL</v>
          </cell>
        </row>
        <row r="342">
          <cell r="R342">
            <v>5057949154221</v>
          </cell>
          <cell r="S342" t="str">
            <v>M</v>
          </cell>
        </row>
        <row r="343">
          <cell r="R343">
            <v>5057949154214</v>
          </cell>
          <cell r="S343" t="str">
            <v>L</v>
          </cell>
        </row>
        <row r="344">
          <cell r="R344">
            <v>5057949154207</v>
          </cell>
          <cell r="S344" t="str">
            <v>XL</v>
          </cell>
        </row>
        <row r="345">
          <cell r="R345">
            <v>5057949154191</v>
          </cell>
          <cell r="S345" t="str">
            <v>XXL</v>
          </cell>
        </row>
        <row r="346">
          <cell r="R346">
            <v>5057949154238</v>
          </cell>
          <cell r="S346" t="str">
            <v>S</v>
          </cell>
        </row>
        <row r="347">
          <cell r="R347">
            <v>5057949154436</v>
          </cell>
          <cell r="S347" t="str">
            <v>S</v>
          </cell>
        </row>
        <row r="348">
          <cell r="R348">
            <v>5057949154429</v>
          </cell>
          <cell r="S348" t="str">
            <v>M</v>
          </cell>
        </row>
        <row r="349">
          <cell r="R349">
            <v>5057949154412</v>
          </cell>
          <cell r="S349" t="str">
            <v>L</v>
          </cell>
        </row>
        <row r="350">
          <cell r="R350">
            <v>5057949154405</v>
          </cell>
          <cell r="S350" t="str">
            <v>XL</v>
          </cell>
        </row>
        <row r="351">
          <cell r="R351">
            <v>5057949154184</v>
          </cell>
          <cell r="S351" t="str">
            <v>M</v>
          </cell>
        </row>
        <row r="352">
          <cell r="R352">
            <v>5057949154177</v>
          </cell>
          <cell r="S352" t="str">
            <v>L</v>
          </cell>
        </row>
        <row r="353">
          <cell r="R353">
            <v>5057949154160</v>
          </cell>
          <cell r="S353" t="str">
            <v>XL</v>
          </cell>
        </row>
        <row r="354">
          <cell r="R354">
            <v>5057949154153</v>
          </cell>
          <cell r="S354" t="str">
            <v>XXL</v>
          </cell>
        </row>
        <row r="355">
          <cell r="R355">
            <v>5057949154283</v>
          </cell>
          <cell r="S355" t="str">
            <v>S</v>
          </cell>
        </row>
        <row r="356">
          <cell r="R356">
            <v>5057949154276</v>
          </cell>
          <cell r="S356" t="str">
            <v>M</v>
          </cell>
        </row>
        <row r="357">
          <cell r="R357">
            <v>5057949154269</v>
          </cell>
          <cell r="S357" t="str">
            <v>L</v>
          </cell>
        </row>
        <row r="358">
          <cell r="R358">
            <v>5057949154252</v>
          </cell>
          <cell r="S358" t="str">
            <v>XL</v>
          </cell>
        </row>
        <row r="359">
          <cell r="R359">
            <v>5057949154375</v>
          </cell>
          <cell r="S359" t="str">
            <v>M</v>
          </cell>
        </row>
        <row r="360">
          <cell r="R360">
            <v>5057949154368</v>
          </cell>
          <cell r="S360" t="str">
            <v>L</v>
          </cell>
        </row>
        <row r="361">
          <cell r="R361">
            <v>5057949154351</v>
          </cell>
          <cell r="S361" t="str">
            <v>XL</v>
          </cell>
        </row>
        <row r="362">
          <cell r="R362">
            <v>5057949154344</v>
          </cell>
          <cell r="S362" t="str">
            <v>XXL</v>
          </cell>
        </row>
        <row r="363">
          <cell r="R363">
            <v>2290379</v>
          </cell>
          <cell r="S363" t="str">
            <v>XXL</v>
          </cell>
        </row>
        <row r="364">
          <cell r="R364">
            <v>5057949154245</v>
          </cell>
          <cell r="S364" t="str">
            <v>XXL</v>
          </cell>
        </row>
        <row r="365">
          <cell r="R365">
            <v>5057949154320</v>
          </cell>
          <cell r="S365" t="str">
            <v>M</v>
          </cell>
        </row>
        <row r="366">
          <cell r="R366">
            <v>5057949154313</v>
          </cell>
          <cell r="S366" t="str">
            <v>L</v>
          </cell>
        </row>
        <row r="367">
          <cell r="R367">
            <v>5057949154306</v>
          </cell>
          <cell r="S367" t="str">
            <v>XL</v>
          </cell>
        </row>
        <row r="368">
          <cell r="R368">
            <v>5057949154146</v>
          </cell>
          <cell r="S368" t="str">
            <v>S</v>
          </cell>
        </row>
        <row r="369">
          <cell r="R369">
            <v>5057949154337</v>
          </cell>
          <cell r="S369" t="str">
            <v>S</v>
          </cell>
        </row>
        <row r="370">
          <cell r="R370">
            <v>5057949154382</v>
          </cell>
          <cell r="S370" t="str">
            <v>S</v>
          </cell>
        </row>
        <row r="371">
          <cell r="R371">
            <v>2289922</v>
          </cell>
          <cell r="S371" t="str">
            <v>XXL</v>
          </cell>
        </row>
        <row r="372">
          <cell r="R372">
            <v>5053968953586</v>
          </cell>
          <cell r="S372" t="str">
            <v>S</v>
          </cell>
        </row>
        <row r="373">
          <cell r="R373">
            <v>5057949157390</v>
          </cell>
          <cell r="S373" t="str">
            <v>M</v>
          </cell>
        </row>
        <row r="374">
          <cell r="R374">
            <v>5057949157383</v>
          </cell>
          <cell r="S374" t="str">
            <v>L</v>
          </cell>
        </row>
        <row r="375">
          <cell r="R375">
            <v>5057949157376</v>
          </cell>
          <cell r="S375" t="str">
            <v>XL</v>
          </cell>
        </row>
        <row r="376">
          <cell r="R376">
            <v>5057949157369</v>
          </cell>
          <cell r="S376" t="str">
            <v>XXL</v>
          </cell>
        </row>
        <row r="377">
          <cell r="R377">
            <v>5057949157352</v>
          </cell>
          <cell r="S377" t="str">
            <v>S</v>
          </cell>
        </row>
        <row r="378">
          <cell r="R378">
            <v>5057949157444</v>
          </cell>
          <cell r="S378" t="str">
            <v>S</v>
          </cell>
        </row>
        <row r="379">
          <cell r="R379">
            <v>5057949157437</v>
          </cell>
          <cell r="S379" t="str">
            <v>M</v>
          </cell>
        </row>
        <row r="380">
          <cell r="R380">
            <v>5057949157420</v>
          </cell>
          <cell r="S380" t="str">
            <v>L</v>
          </cell>
        </row>
        <row r="381">
          <cell r="R381">
            <v>5057949157413</v>
          </cell>
          <cell r="S381" t="str">
            <v>XL</v>
          </cell>
        </row>
        <row r="382">
          <cell r="R382">
            <v>5057949157406</v>
          </cell>
          <cell r="S382" t="str">
            <v>XXL</v>
          </cell>
        </row>
        <row r="383">
          <cell r="R383">
            <v>5057949127522</v>
          </cell>
          <cell r="S383" t="str">
            <v>M</v>
          </cell>
        </row>
        <row r="384">
          <cell r="R384">
            <v>5057949127515</v>
          </cell>
          <cell r="S384" t="str">
            <v>L</v>
          </cell>
        </row>
        <row r="385">
          <cell r="R385">
            <v>5057949127508</v>
          </cell>
          <cell r="S385" t="str">
            <v>XL</v>
          </cell>
        </row>
        <row r="386">
          <cell r="R386">
            <v>5057949127492</v>
          </cell>
          <cell r="S386" t="str">
            <v>XXL</v>
          </cell>
        </row>
        <row r="387">
          <cell r="R387">
            <v>5057091451636</v>
          </cell>
          <cell r="S387" t="str">
            <v>M</v>
          </cell>
        </row>
        <row r="388">
          <cell r="R388">
            <v>5057091451643</v>
          </cell>
          <cell r="S388" t="str">
            <v>L</v>
          </cell>
        </row>
        <row r="389">
          <cell r="R389">
            <v>5057091451667</v>
          </cell>
          <cell r="S389" t="str">
            <v>XXL</v>
          </cell>
        </row>
        <row r="390">
          <cell r="R390">
            <v>5057091451629</v>
          </cell>
          <cell r="S390" t="str">
            <v>S</v>
          </cell>
        </row>
        <row r="391">
          <cell r="R391">
            <v>5057091451650</v>
          </cell>
          <cell r="S391" t="str">
            <v>XL</v>
          </cell>
        </row>
        <row r="392">
          <cell r="R392">
            <v>5057091451674</v>
          </cell>
          <cell r="S392" t="str">
            <v>S</v>
          </cell>
        </row>
        <row r="393">
          <cell r="R393">
            <v>5057091451681</v>
          </cell>
          <cell r="S393" t="str">
            <v>M</v>
          </cell>
        </row>
        <row r="394">
          <cell r="R394">
            <v>5057091451698</v>
          </cell>
          <cell r="S394" t="str">
            <v>L</v>
          </cell>
        </row>
        <row r="395">
          <cell r="R395">
            <v>5057091451704</v>
          </cell>
          <cell r="S395" t="str">
            <v>XL</v>
          </cell>
        </row>
        <row r="396">
          <cell r="R396">
            <v>5057091451711</v>
          </cell>
          <cell r="S396" t="str">
            <v>XXL</v>
          </cell>
        </row>
        <row r="397">
          <cell r="R397">
            <v>5057949127775</v>
          </cell>
          <cell r="S397" t="str">
            <v>M</v>
          </cell>
        </row>
        <row r="398">
          <cell r="R398">
            <v>5057949127768</v>
          </cell>
          <cell r="S398" t="str">
            <v>L</v>
          </cell>
        </row>
        <row r="399">
          <cell r="R399">
            <v>5057949127751</v>
          </cell>
          <cell r="S399" t="str">
            <v>XL</v>
          </cell>
        </row>
        <row r="400">
          <cell r="R400">
            <v>5057949127744</v>
          </cell>
          <cell r="S400" t="str">
            <v>XXL</v>
          </cell>
        </row>
        <row r="401">
          <cell r="R401">
            <v>2298160</v>
          </cell>
          <cell r="S401" t="str">
            <v>S</v>
          </cell>
        </row>
        <row r="402">
          <cell r="R402">
            <v>2298177</v>
          </cell>
          <cell r="S402" t="str">
            <v>M</v>
          </cell>
        </row>
        <row r="403">
          <cell r="R403">
            <v>2298184</v>
          </cell>
          <cell r="S403" t="str">
            <v>L</v>
          </cell>
        </row>
        <row r="404">
          <cell r="R404">
            <v>2298191</v>
          </cell>
          <cell r="S404" t="str">
            <v>XL</v>
          </cell>
        </row>
        <row r="405">
          <cell r="R405">
            <v>2298207</v>
          </cell>
          <cell r="S405" t="str">
            <v>XXL</v>
          </cell>
        </row>
        <row r="406">
          <cell r="R406">
            <v>5057949127782</v>
          </cell>
          <cell r="S406" t="str">
            <v>S</v>
          </cell>
        </row>
        <row r="407">
          <cell r="R407">
            <v>5057949229486</v>
          </cell>
          <cell r="S407" t="str">
            <v>S</v>
          </cell>
        </row>
        <row r="408">
          <cell r="R408">
            <v>5057949229738</v>
          </cell>
          <cell r="S408" t="str">
            <v>S</v>
          </cell>
        </row>
        <row r="409">
          <cell r="R409">
            <v>5057949229783</v>
          </cell>
          <cell r="S409" t="str">
            <v>S</v>
          </cell>
        </row>
        <row r="410">
          <cell r="R410">
            <v>5057091450585</v>
          </cell>
          <cell r="S410" t="str">
            <v>M</v>
          </cell>
        </row>
        <row r="411">
          <cell r="R411">
            <v>5057091450608</v>
          </cell>
          <cell r="S411" t="str">
            <v>XL</v>
          </cell>
        </row>
        <row r="412">
          <cell r="R412">
            <v>5057091450615</v>
          </cell>
          <cell r="S412" t="str">
            <v>XXL</v>
          </cell>
        </row>
        <row r="413">
          <cell r="R413">
            <v>5057091450578</v>
          </cell>
          <cell r="S413" t="str">
            <v>S</v>
          </cell>
        </row>
        <row r="414">
          <cell r="R414">
            <v>5057091450592</v>
          </cell>
          <cell r="S414" t="str">
            <v>L</v>
          </cell>
        </row>
        <row r="415">
          <cell r="R415">
            <v>5057949103908</v>
          </cell>
          <cell r="S415" t="str">
            <v>S</v>
          </cell>
        </row>
        <row r="416">
          <cell r="R416">
            <v>5057949103861</v>
          </cell>
          <cell r="S416" t="str">
            <v>XXL</v>
          </cell>
        </row>
        <row r="417">
          <cell r="R417">
            <v>5057949103892</v>
          </cell>
          <cell r="S417" t="str">
            <v>M</v>
          </cell>
        </row>
        <row r="418">
          <cell r="R418">
            <v>5057949103885</v>
          </cell>
          <cell r="S418" t="str">
            <v>L</v>
          </cell>
        </row>
        <row r="419">
          <cell r="R419">
            <v>5057949076370</v>
          </cell>
          <cell r="S419" t="str">
            <v>XXL</v>
          </cell>
        </row>
        <row r="420">
          <cell r="R420">
            <v>5057949074321</v>
          </cell>
          <cell r="S420" t="str">
            <v>XXL</v>
          </cell>
        </row>
        <row r="421">
          <cell r="R421">
            <v>5053968948988</v>
          </cell>
          <cell r="S421" t="str">
            <v>S</v>
          </cell>
        </row>
        <row r="422">
          <cell r="R422">
            <v>5057949033670</v>
          </cell>
          <cell r="S422" t="str">
            <v>S</v>
          </cell>
        </row>
        <row r="423">
          <cell r="R423">
            <v>5053968985143</v>
          </cell>
          <cell r="S423" t="str">
            <v>S</v>
          </cell>
        </row>
        <row r="424">
          <cell r="R424">
            <v>5053968985198</v>
          </cell>
          <cell r="S424" t="str">
            <v>S</v>
          </cell>
        </row>
        <row r="425">
          <cell r="R425">
            <v>5057949159424</v>
          </cell>
          <cell r="S425" t="str">
            <v>M</v>
          </cell>
        </row>
        <row r="426">
          <cell r="R426">
            <v>5053968998525</v>
          </cell>
          <cell r="S426" t="str">
            <v>L</v>
          </cell>
        </row>
        <row r="427">
          <cell r="R427">
            <v>5057091450677</v>
          </cell>
          <cell r="S427" t="str">
            <v>S</v>
          </cell>
        </row>
        <row r="428">
          <cell r="R428">
            <v>5057091450684</v>
          </cell>
          <cell r="S428" t="str">
            <v>M</v>
          </cell>
        </row>
        <row r="429">
          <cell r="R429">
            <v>5057091450707</v>
          </cell>
          <cell r="S429" t="str">
            <v>XL</v>
          </cell>
        </row>
        <row r="430">
          <cell r="R430">
            <v>5057091450714</v>
          </cell>
          <cell r="S430" t="str">
            <v>XXL</v>
          </cell>
        </row>
        <row r="431">
          <cell r="R431">
            <v>5057949125337</v>
          </cell>
          <cell r="S431" t="str">
            <v>S</v>
          </cell>
        </row>
        <row r="432">
          <cell r="R432">
            <v>5057949125375</v>
          </cell>
          <cell r="S432" t="str">
            <v>M</v>
          </cell>
        </row>
        <row r="433">
          <cell r="R433">
            <v>5057949125368</v>
          </cell>
          <cell r="S433" t="str">
            <v>L</v>
          </cell>
        </row>
        <row r="434">
          <cell r="R434">
            <v>5057949125351</v>
          </cell>
          <cell r="S434" t="str">
            <v>XL</v>
          </cell>
        </row>
        <row r="435">
          <cell r="R435">
            <v>5057949125344</v>
          </cell>
          <cell r="S435" t="str">
            <v>XXL</v>
          </cell>
        </row>
        <row r="436">
          <cell r="R436">
            <v>5057949126099</v>
          </cell>
          <cell r="S436" t="str">
            <v>S</v>
          </cell>
        </row>
        <row r="437">
          <cell r="R437">
            <v>5057949126082</v>
          </cell>
          <cell r="S437" t="str">
            <v>M</v>
          </cell>
        </row>
        <row r="438">
          <cell r="R438">
            <v>5057949126075</v>
          </cell>
          <cell r="S438" t="str">
            <v>L</v>
          </cell>
        </row>
        <row r="439">
          <cell r="R439">
            <v>5057949126068</v>
          </cell>
          <cell r="S439" t="str">
            <v>XL</v>
          </cell>
        </row>
        <row r="440">
          <cell r="R440">
            <v>5057949126051</v>
          </cell>
          <cell r="S440" t="str">
            <v>XXL</v>
          </cell>
        </row>
        <row r="441">
          <cell r="R441">
            <v>5057949126143</v>
          </cell>
          <cell r="S441" t="str">
            <v>S</v>
          </cell>
        </row>
        <row r="442">
          <cell r="R442">
            <v>5057949126136</v>
          </cell>
          <cell r="S442" t="str">
            <v>M</v>
          </cell>
        </row>
        <row r="443">
          <cell r="R443">
            <v>5057949126129</v>
          </cell>
          <cell r="S443" t="str">
            <v>L</v>
          </cell>
        </row>
        <row r="444">
          <cell r="R444">
            <v>5057949126112</v>
          </cell>
          <cell r="S444" t="str">
            <v>XL</v>
          </cell>
        </row>
        <row r="445">
          <cell r="R445">
            <v>5057949126105</v>
          </cell>
          <cell r="S445" t="str">
            <v>XXL</v>
          </cell>
        </row>
        <row r="446">
          <cell r="R446">
            <v>5057949126280</v>
          </cell>
          <cell r="S446" t="str">
            <v>M</v>
          </cell>
        </row>
        <row r="447">
          <cell r="R447">
            <v>5057949126273</v>
          </cell>
          <cell r="S447" t="str">
            <v>L</v>
          </cell>
        </row>
        <row r="448">
          <cell r="R448">
            <v>5057949126266</v>
          </cell>
          <cell r="S448" t="str">
            <v>XL</v>
          </cell>
        </row>
        <row r="449">
          <cell r="R449">
            <v>5057949126259</v>
          </cell>
          <cell r="S449" t="str">
            <v>XXL</v>
          </cell>
        </row>
        <row r="450">
          <cell r="R450">
            <v>5057949126334</v>
          </cell>
          <cell r="S450" t="str">
            <v>M</v>
          </cell>
        </row>
        <row r="451">
          <cell r="R451">
            <v>5057949126327</v>
          </cell>
          <cell r="S451" t="str">
            <v>L</v>
          </cell>
        </row>
        <row r="452">
          <cell r="R452">
            <v>5057949126310</v>
          </cell>
          <cell r="S452" t="str">
            <v>XL</v>
          </cell>
        </row>
        <row r="453">
          <cell r="R453">
            <v>5057949126303</v>
          </cell>
          <cell r="S453" t="str">
            <v>XXL</v>
          </cell>
        </row>
        <row r="454">
          <cell r="R454">
            <v>5057949126297</v>
          </cell>
          <cell r="S454" t="str">
            <v>S</v>
          </cell>
        </row>
        <row r="455">
          <cell r="R455">
            <v>5057949126341</v>
          </cell>
          <cell r="S455" t="str">
            <v>S</v>
          </cell>
        </row>
        <row r="456">
          <cell r="R456">
            <v>5057091452176</v>
          </cell>
          <cell r="S456" t="str">
            <v>S</v>
          </cell>
        </row>
        <row r="457">
          <cell r="R457">
            <v>5057091452183</v>
          </cell>
          <cell r="S457" t="str">
            <v>M</v>
          </cell>
        </row>
        <row r="458">
          <cell r="R458">
            <v>5057091452206</v>
          </cell>
          <cell r="S458" t="str">
            <v>XL</v>
          </cell>
        </row>
        <row r="459">
          <cell r="R459">
            <v>5057091452213</v>
          </cell>
          <cell r="S459" t="str">
            <v>XXL</v>
          </cell>
        </row>
        <row r="460">
          <cell r="R460">
            <v>5057091452336</v>
          </cell>
          <cell r="S460" t="str">
            <v>M</v>
          </cell>
        </row>
        <row r="461">
          <cell r="R461">
            <v>5057091452350</v>
          </cell>
          <cell r="S461" t="str">
            <v>XL</v>
          </cell>
        </row>
        <row r="462">
          <cell r="R462">
            <v>5057091452367</v>
          </cell>
          <cell r="S462" t="str">
            <v>XXL</v>
          </cell>
        </row>
        <row r="463">
          <cell r="R463">
            <v>5057091452329</v>
          </cell>
          <cell r="S463" t="str">
            <v>S</v>
          </cell>
        </row>
        <row r="464">
          <cell r="R464">
            <v>5016916223155</v>
          </cell>
          <cell r="S464" t="str">
            <v>O/S</v>
          </cell>
        </row>
        <row r="465">
          <cell r="R465">
            <v>5014478437713</v>
          </cell>
          <cell r="S465" t="str">
            <v>O/S</v>
          </cell>
        </row>
        <row r="466">
          <cell r="R466">
            <v>5014478437966</v>
          </cell>
          <cell r="S466" t="str">
            <v>O/S</v>
          </cell>
        </row>
        <row r="467">
          <cell r="R467">
            <v>5014478438017</v>
          </cell>
          <cell r="S467" t="str">
            <v>O/S</v>
          </cell>
        </row>
        <row r="468">
          <cell r="R468">
            <v>9313921260479</v>
          </cell>
          <cell r="S468" t="str">
            <v>O/S</v>
          </cell>
        </row>
        <row r="469">
          <cell r="R469">
            <v>5014478437331</v>
          </cell>
          <cell r="S469" t="str">
            <v>O/S</v>
          </cell>
        </row>
        <row r="470">
          <cell r="R470">
            <v>8719987525544</v>
          </cell>
          <cell r="S470" t="str">
            <v>O/S</v>
          </cell>
        </row>
        <row r="471">
          <cell r="R471">
            <v>5054777202988</v>
          </cell>
          <cell r="S471" t="str">
            <v>O/S</v>
          </cell>
        </row>
        <row r="472">
          <cell r="R472">
            <v>5014478438642</v>
          </cell>
          <cell r="S472" t="str">
            <v>O/S</v>
          </cell>
        </row>
        <row r="473">
          <cell r="R473">
            <v>5014478438550</v>
          </cell>
          <cell r="S473" t="str">
            <v>O/S</v>
          </cell>
        </row>
        <row r="474">
          <cell r="R474">
            <v>5014478438574</v>
          </cell>
          <cell r="S474" t="str">
            <v>O/S</v>
          </cell>
        </row>
        <row r="475">
          <cell r="R475">
            <v>5014478438598</v>
          </cell>
          <cell r="S475" t="str">
            <v>O/S</v>
          </cell>
        </row>
        <row r="476">
          <cell r="R476">
            <v>8719202915068</v>
          </cell>
          <cell r="S476" t="str">
            <v>O/S</v>
          </cell>
        </row>
        <row r="477">
          <cell r="R477">
            <v>5014478436341</v>
          </cell>
          <cell r="S477" t="str">
            <v>O/S</v>
          </cell>
        </row>
        <row r="478">
          <cell r="R478">
            <v>5014478437744</v>
          </cell>
          <cell r="S478" t="str">
            <v>O/S</v>
          </cell>
        </row>
        <row r="479">
          <cell r="R479">
            <v>5014478438604</v>
          </cell>
          <cell r="S479" t="str">
            <v>O/S</v>
          </cell>
        </row>
        <row r="480">
          <cell r="R480">
            <v>8692952043352</v>
          </cell>
          <cell r="S480" t="str">
            <v>O/S</v>
          </cell>
        </row>
        <row r="481">
          <cell r="R481">
            <v>8692952043291</v>
          </cell>
          <cell r="S481" t="str">
            <v>O/S</v>
          </cell>
        </row>
        <row r="482">
          <cell r="R482">
            <v>5014478438420</v>
          </cell>
          <cell r="S482" t="str">
            <v>O/S</v>
          </cell>
        </row>
        <row r="483">
          <cell r="R483">
            <v>5014478438444</v>
          </cell>
          <cell r="S483" t="str">
            <v>O/S</v>
          </cell>
        </row>
        <row r="484">
          <cell r="R484">
            <v>8692952168215</v>
          </cell>
          <cell r="S484" t="str">
            <v>O/S</v>
          </cell>
        </row>
        <row r="485">
          <cell r="R485">
            <v>5014478438468</v>
          </cell>
          <cell r="S485" t="str">
            <v>O/S</v>
          </cell>
        </row>
        <row r="486">
          <cell r="R486">
            <v>8692952047299</v>
          </cell>
          <cell r="S486" t="str">
            <v>O/S</v>
          </cell>
        </row>
        <row r="487">
          <cell r="R487">
            <v>8692952101229</v>
          </cell>
          <cell r="S487" t="str">
            <v>O/S</v>
          </cell>
        </row>
        <row r="488">
          <cell r="R488">
            <v>8692952055348</v>
          </cell>
          <cell r="S488" t="str">
            <v>O/S</v>
          </cell>
        </row>
        <row r="489">
          <cell r="R489">
            <v>8692921402529</v>
          </cell>
          <cell r="S489" t="str">
            <v>O/S</v>
          </cell>
        </row>
        <row r="490">
          <cell r="R490">
            <v>8692952055331</v>
          </cell>
          <cell r="S490" t="str">
            <v>O/S</v>
          </cell>
        </row>
        <row r="491">
          <cell r="R491">
            <v>5014478436228</v>
          </cell>
          <cell r="S491" t="str">
            <v>O/S</v>
          </cell>
        </row>
        <row r="492">
          <cell r="R492">
            <v>2288901</v>
          </cell>
          <cell r="S492" t="str">
            <v>M</v>
          </cell>
        </row>
        <row r="493">
          <cell r="R493">
            <v>2288918</v>
          </cell>
          <cell r="S493" t="str">
            <v>L</v>
          </cell>
        </row>
        <row r="494">
          <cell r="R494">
            <v>2288925</v>
          </cell>
          <cell r="S494" t="str">
            <v>XL</v>
          </cell>
        </row>
        <row r="495">
          <cell r="R495">
            <v>2288932</v>
          </cell>
          <cell r="S495" t="str">
            <v>XXL</v>
          </cell>
        </row>
        <row r="496">
          <cell r="R496">
            <v>2288970</v>
          </cell>
          <cell r="S496" t="str">
            <v>XXL</v>
          </cell>
        </row>
        <row r="497">
          <cell r="R497">
            <v>5057949126006</v>
          </cell>
          <cell r="S497" t="str">
            <v>S</v>
          </cell>
        </row>
        <row r="498">
          <cell r="R498">
            <v>5057949126044</v>
          </cell>
          <cell r="S498" t="str">
            <v>M</v>
          </cell>
        </row>
        <row r="499">
          <cell r="R499">
            <v>5057949126037</v>
          </cell>
          <cell r="S499" t="str">
            <v>L</v>
          </cell>
        </row>
        <row r="500">
          <cell r="R500">
            <v>5057949126020</v>
          </cell>
          <cell r="S500" t="str">
            <v>XL</v>
          </cell>
        </row>
        <row r="501">
          <cell r="R501">
            <v>5057949126013</v>
          </cell>
          <cell r="S501" t="str">
            <v>XXL</v>
          </cell>
        </row>
        <row r="502">
          <cell r="R502">
            <v>5022183100068</v>
          </cell>
          <cell r="S502" t="str">
            <v>O/S</v>
          </cell>
        </row>
        <row r="503">
          <cell r="R503">
            <v>2298115</v>
          </cell>
          <cell r="S503" t="str">
            <v>S</v>
          </cell>
        </row>
        <row r="504">
          <cell r="R504">
            <v>2298061</v>
          </cell>
          <cell r="S504" t="str">
            <v>S</v>
          </cell>
        </row>
        <row r="505">
          <cell r="R505">
            <v>2298122</v>
          </cell>
          <cell r="S505" t="str">
            <v>M</v>
          </cell>
        </row>
        <row r="506">
          <cell r="R506">
            <v>2298078</v>
          </cell>
          <cell r="S506" t="str">
            <v>M</v>
          </cell>
        </row>
        <row r="507">
          <cell r="R507">
            <v>2298139</v>
          </cell>
          <cell r="S507" t="str">
            <v>L</v>
          </cell>
        </row>
        <row r="508">
          <cell r="R508">
            <v>2298085</v>
          </cell>
          <cell r="S508" t="str">
            <v>L</v>
          </cell>
        </row>
        <row r="509">
          <cell r="R509">
            <v>2298146</v>
          </cell>
          <cell r="S509" t="str">
            <v>XL</v>
          </cell>
        </row>
        <row r="510">
          <cell r="R510">
            <v>2298092</v>
          </cell>
          <cell r="S510" t="str">
            <v>XL</v>
          </cell>
        </row>
        <row r="511">
          <cell r="R511">
            <v>2298153</v>
          </cell>
          <cell r="S511" t="str">
            <v>XXL</v>
          </cell>
        </row>
        <row r="512">
          <cell r="R512">
            <v>2298108</v>
          </cell>
          <cell r="S512" t="str">
            <v>XXL</v>
          </cell>
        </row>
        <row r="513">
          <cell r="R513">
            <v>2312019</v>
          </cell>
          <cell r="S513" t="str">
            <v>S</v>
          </cell>
        </row>
        <row r="514">
          <cell r="R514">
            <v>2312026</v>
          </cell>
          <cell r="S514" t="str">
            <v>M</v>
          </cell>
        </row>
        <row r="515">
          <cell r="R515">
            <v>2312033</v>
          </cell>
          <cell r="S515" t="str">
            <v>L</v>
          </cell>
        </row>
        <row r="516">
          <cell r="R516">
            <v>2312040</v>
          </cell>
          <cell r="S516" t="str">
            <v>XL</v>
          </cell>
        </row>
        <row r="517">
          <cell r="R517">
            <v>2312057</v>
          </cell>
          <cell r="S517" t="str">
            <v>XXL</v>
          </cell>
        </row>
        <row r="518">
          <cell r="R518">
            <v>5057949157864</v>
          </cell>
          <cell r="S518" t="str">
            <v>S</v>
          </cell>
        </row>
        <row r="519">
          <cell r="R519">
            <v>5057091450691</v>
          </cell>
          <cell r="S519" t="str">
            <v>L</v>
          </cell>
        </row>
        <row r="520">
          <cell r="R520">
            <v>5014478435719</v>
          </cell>
          <cell r="S520" t="str">
            <v>O/S</v>
          </cell>
        </row>
        <row r="521">
          <cell r="R521">
            <v>5014478438857</v>
          </cell>
          <cell r="S521" t="str">
            <v>O/S</v>
          </cell>
        </row>
        <row r="522">
          <cell r="R522">
            <v>5014478438864</v>
          </cell>
          <cell r="S522" t="str">
            <v>O/S</v>
          </cell>
        </row>
        <row r="523">
          <cell r="R523">
            <v>5014478435320</v>
          </cell>
          <cell r="S523" t="str">
            <v>O/S</v>
          </cell>
        </row>
        <row r="524">
          <cell r="R524">
            <v>5014478437737</v>
          </cell>
          <cell r="S524" t="str">
            <v>O/S</v>
          </cell>
        </row>
        <row r="525">
          <cell r="R525">
            <v>5014478435702</v>
          </cell>
          <cell r="S525" t="str">
            <v>O/S</v>
          </cell>
        </row>
        <row r="526">
          <cell r="R526">
            <v>5014478435733</v>
          </cell>
          <cell r="S526" t="str">
            <v>O/S</v>
          </cell>
        </row>
        <row r="527">
          <cell r="R527">
            <v>5014478435757</v>
          </cell>
          <cell r="S527" t="str">
            <v>O/S</v>
          </cell>
        </row>
        <row r="528">
          <cell r="R528">
            <v>5014478436273</v>
          </cell>
          <cell r="S528" t="str">
            <v>O/S</v>
          </cell>
        </row>
        <row r="529">
          <cell r="R529">
            <v>5014478436297</v>
          </cell>
          <cell r="S529" t="str">
            <v>O/S</v>
          </cell>
        </row>
        <row r="530">
          <cell r="R530">
            <v>5014478436280</v>
          </cell>
          <cell r="S530" t="str">
            <v>O/S</v>
          </cell>
        </row>
        <row r="531">
          <cell r="R531">
            <v>5014478436303</v>
          </cell>
          <cell r="S531" t="str">
            <v>O/S</v>
          </cell>
        </row>
        <row r="532">
          <cell r="R532">
            <v>5014478435740</v>
          </cell>
          <cell r="S532" t="str">
            <v>O/S</v>
          </cell>
        </row>
        <row r="533">
          <cell r="R533">
            <v>5014478438437</v>
          </cell>
          <cell r="S533" t="str">
            <v>O/S</v>
          </cell>
        </row>
        <row r="534">
          <cell r="R534">
            <v>8692952100994</v>
          </cell>
          <cell r="S534" t="str">
            <v>O/S</v>
          </cell>
        </row>
        <row r="535">
          <cell r="R535">
            <v>5057949127539</v>
          </cell>
          <cell r="S535" t="str">
            <v>S</v>
          </cell>
        </row>
        <row r="536">
          <cell r="R536">
            <v>5057091450141</v>
          </cell>
          <cell r="S536" t="str">
            <v>M</v>
          </cell>
        </row>
        <row r="537">
          <cell r="R537">
            <v>5057091450172</v>
          </cell>
          <cell r="S537" t="str">
            <v>XXL</v>
          </cell>
        </row>
        <row r="538">
          <cell r="R538">
            <v>5057091450158</v>
          </cell>
          <cell r="S538" t="str">
            <v>L</v>
          </cell>
        </row>
        <row r="539">
          <cell r="R539">
            <v>5057091450493</v>
          </cell>
          <cell r="S539" t="str">
            <v>L</v>
          </cell>
        </row>
        <row r="540">
          <cell r="R540">
            <v>5014478436563</v>
          </cell>
          <cell r="S540" t="str">
            <v>O/S</v>
          </cell>
        </row>
        <row r="541">
          <cell r="R541">
            <v>5057949159639</v>
          </cell>
          <cell r="S541" t="str">
            <v>XXL</v>
          </cell>
        </row>
        <row r="542">
          <cell r="R542">
            <v>5014478438666</v>
          </cell>
          <cell r="S542" t="str">
            <v>O/S</v>
          </cell>
        </row>
        <row r="543">
          <cell r="R543">
            <v>5014478438635</v>
          </cell>
          <cell r="S543" t="str">
            <v>O/S</v>
          </cell>
        </row>
        <row r="544">
          <cell r="R544">
            <v>5014478437997</v>
          </cell>
          <cell r="S544" t="str">
            <v>O/S</v>
          </cell>
        </row>
        <row r="545">
          <cell r="R545">
            <v>5014478437959</v>
          </cell>
          <cell r="S545" t="str">
            <v>O/S</v>
          </cell>
        </row>
        <row r="546">
          <cell r="R546">
            <v>5014478438628</v>
          </cell>
          <cell r="S546" t="str">
            <v>O/S</v>
          </cell>
        </row>
        <row r="547">
          <cell r="R547">
            <v>5014478433593</v>
          </cell>
          <cell r="S547" t="str">
            <v>O/S</v>
          </cell>
        </row>
        <row r="548">
          <cell r="R548">
            <v>5014478438659</v>
          </cell>
          <cell r="S548" t="str">
            <v>O/S</v>
          </cell>
        </row>
        <row r="549">
          <cell r="R549">
            <v>5014478438475</v>
          </cell>
          <cell r="S549" t="str">
            <v>O/S</v>
          </cell>
        </row>
        <row r="550">
          <cell r="R550">
            <v>5014478436389</v>
          </cell>
          <cell r="S550" t="str">
            <v>O/S</v>
          </cell>
        </row>
        <row r="551">
          <cell r="R551">
            <v>5014478437720</v>
          </cell>
          <cell r="S551" t="str">
            <v>O/S</v>
          </cell>
        </row>
        <row r="552">
          <cell r="R552">
            <v>5014478438499</v>
          </cell>
          <cell r="S552" t="str">
            <v>O/S</v>
          </cell>
        </row>
        <row r="553">
          <cell r="R553">
            <v>5014478438529</v>
          </cell>
          <cell r="S553" t="str">
            <v>O/S</v>
          </cell>
        </row>
        <row r="554">
          <cell r="R554">
            <v>5014478438543</v>
          </cell>
          <cell r="S554" t="str">
            <v>O/S</v>
          </cell>
        </row>
        <row r="555">
          <cell r="R555">
            <v>5014478436532</v>
          </cell>
          <cell r="S555" t="str">
            <v>O/S</v>
          </cell>
        </row>
        <row r="556">
          <cell r="R556">
            <v>8719202966268</v>
          </cell>
          <cell r="S556" t="str">
            <v>O/S</v>
          </cell>
        </row>
        <row r="557">
          <cell r="R557">
            <v>8719202915204</v>
          </cell>
          <cell r="S557" t="str">
            <v>O/S</v>
          </cell>
        </row>
        <row r="558">
          <cell r="R558">
            <v>8692952049279</v>
          </cell>
          <cell r="S558" t="str">
            <v>O/S</v>
          </cell>
        </row>
        <row r="559">
          <cell r="R559">
            <v>8692952065019</v>
          </cell>
          <cell r="S559" t="str">
            <v>O/S</v>
          </cell>
        </row>
        <row r="560">
          <cell r="R560">
            <v>8719202008302</v>
          </cell>
          <cell r="S560" t="str">
            <v>O/S</v>
          </cell>
        </row>
        <row r="561">
          <cell r="R561">
            <v>5014478438482</v>
          </cell>
          <cell r="S561" t="str">
            <v>O/S</v>
          </cell>
        </row>
        <row r="562">
          <cell r="R562">
            <v>5014478438512</v>
          </cell>
          <cell r="S562" t="str">
            <v>O/S</v>
          </cell>
        </row>
        <row r="563">
          <cell r="R563">
            <v>5014478435726</v>
          </cell>
          <cell r="S563" t="str">
            <v>O/S</v>
          </cell>
        </row>
        <row r="564">
          <cell r="R564">
            <v>5014478438451</v>
          </cell>
          <cell r="S564" t="str">
            <v>O/S</v>
          </cell>
        </row>
        <row r="565">
          <cell r="R565">
            <v>5014478437751</v>
          </cell>
          <cell r="S565" t="str">
            <v>O/S</v>
          </cell>
        </row>
        <row r="566">
          <cell r="R566">
            <v>5014478438567</v>
          </cell>
          <cell r="S566" t="str">
            <v>O/S</v>
          </cell>
        </row>
        <row r="567">
          <cell r="R567">
            <v>5014478435139</v>
          </cell>
          <cell r="S567" t="str">
            <v>O/S</v>
          </cell>
        </row>
        <row r="568">
          <cell r="R568">
            <v>5014478438536</v>
          </cell>
          <cell r="S568" t="str">
            <v>O/S</v>
          </cell>
        </row>
        <row r="569">
          <cell r="R569">
            <v>8719987525568</v>
          </cell>
          <cell r="S569" t="str">
            <v>O/S</v>
          </cell>
        </row>
        <row r="570">
          <cell r="R570">
            <v>8719987525612</v>
          </cell>
          <cell r="S570" t="str">
            <v>O/S</v>
          </cell>
        </row>
        <row r="571">
          <cell r="R571">
            <v>8719987745904</v>
          </cell>
          <cell r="S571" t="str">
            <v>O/S</v>
          </cell>
        </row>
        <row r="572">
          <cell r="R572">
            <v>5014478436587</v>
          </cell>
          <cell r="S572" t="str">
            <v>O/S</v>
          </cell>
        </row>
        <row r="573">
          <cell r="R573">
            <v>5014478435276</v>
          </cell>
          <cell r="S573" t="str">
            <v>O/S</v>
          </cell>
        </row>
        <row r="574">
          <cell r="R574">
            <v>8719987540516</v>
          </cell>
          <cell r="S574" t="str">
            <v>O/S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3"/>
  <sheetViews>
    <sheetView tabSelected="1" topLeftCell="A106" workbookViewId="0">
      <selection activeCell="U121" sqref="U121"/>
    </sheetView>
  </sheetViews>
  <sheetFormatPr defaultRowHeight="15"/>
  <cols>
    <col min="1" max="1" width="5.28515625" customWidth="1"/>
    <col min="2" max="2" width="14" customWidth="1"/>
    <col min="3" max="3" width="7.42578125" customWidth="1"/>
    <col min="4" max="4" width="11.140625" customWidth="1"/>
    <col min="5" max="5" width="13.7109375" bestFit="1" customWidth="1"/>
    <col min="6" max="6" width="21.42578125" hidden="1" customWidth="1"/>
    <col min="7" max="7" width="13.28515625" hidden="1" customWidth="1"/>
    <col min="8" max="8" width="10.7109375" hidden="1" customWidth="1"/>
    <col min="9" max="9" width="20.140625" hidden="1" customWidth="1"/>
    <col min="10" max="10" width="10.7109375" hidden="1" customWidth="1"/>
    <col min="11" max="11" width="13.140625" hidden="1" customWidth="1"/>
    <col min="12" max="12" width="15.5703125" hidden="1" customWidth="1"/>
    <col min="13" max="13" width="26.28515625" hidden="1" customWidth="1"/>
    <col min="14" max="14" width="19.140625" bestFit="1" customWidth="1"/>
    <col min="15" max="15" width="48.28515625" bestFit="1" customWidth="1"/>
    <col min="16" max="16" width="16.7109375" style="7" bestFit="1" customWidth="1"/>
    <col min="17" max="17" width="19.140625" customWidth="1"/>
    <col min="18" max="19" width="17.28515625" customWidth="1"/>
    <col min="20" max="20" width="12" bestFit="1" customWidth="1"/>
    <col min="21" max="21" width="16.42578125" customWidth="1"/>
    <col min="22" max="22" width="11.85546875" bestFit="1" customWidth="1"/>
    <col min="23" max="23" width="8.42578125" bestFit="1" customWidth="1"/>
    <col min="24" max="24" width="17" bestFit="1" customWidth="1"/>
    <col min="25" max="25" width="6.5703125" bestFit="1" customWidth="1"/>
    <col min="26" max="26" width="12.5703125" bestFit="1" customWidth="1"/>
    <col min="28" max="28" width="15.2851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7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152</v>
      </c>
      <c r="AB1" s="1" t="s">
        <v>153</v>
      </c>
    </row>
    <row r="2" spans="1:28" s="2" customFormat="1">
      <c r="A2" s="2" t="s">
        <v>26</v>
      </c>
      <c r="B2" s="2" t="s">
        <v>75</v>
      </c>
      <c r="C2" s="2">
        <v>30761</v>
      </c>
      <c r="D2" s="2" t="s">
        <v>27</v>
      </c>
      <c r="E2" s="2" t="s">
        <v>28</v>
      </c>
      <c r="F2" s="2" t="s">
        <v>29</v>
      </c>
      <c r="G2" s="2" t="s">
        <v>30</v>
      </c>
      <c r="H2" s="3">
        <v>44708</v>
      </c>
      <c r="I2" s="3">
        <v>44708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8">
        <v>5057949126358</v>
      </c>
      <c r="Q2" s="2" t="s">
        <v>30</v>
      </c>
      <c r="R2" s="2" t="s">
        <v>30</v>
      </c>
      <c r="S2" s="4" t="e">
        <f>VLOOKUP(P2,[2]StockItem!$R:$S,2,0)</f>
        <v>#N/A</v>
      </c>
      <c r="T2" s="2">
        <v>2</v>
      </c>
      <c r="U2" s="2">
        <v>2</v>
      </c>
      <c r="V2" s="2">
        <v>54.54</v>
      </c>
      <c r="W2" s="2">
        <v>109.08</v>
      </c>
      <c r="X2" s="2" t="s">
        <v>37</v>
      </c>
      <c r="Y2" s="2" t="s">
        <v>38</v>
      </c>
      <c r="Z2" s="2" t="s">
        <v>39</v>
      </c>
      <c r="AA2" s="2">
        <v>30</v>
      </c>
      <c r="AB2" s="2">
        <v>20</v>
      </c>
    </row>
    <row r="3" spans="1:28" s="2" customFormat="1">
      <c r="A3" s="2" t="s">
        <v>26</v>
      </c>
      <c r="B3" s="2" t="s">
        <v>75</v>
      </c>
      <c r="C3" s="2">
        <v>30761</v>
      </c>
      <c r="D3" s="2" t="s">
        <v>27</v>
      </c>
      <c r="E3" s="2" t="s">
        <v>28</v>
      </c>
      <c r="F3" s="2" t="s">
        <v>29</v>
      </c>
      <c r="G3" s="2" t="s">
        <v>30</v>
      </c>
      <c r="H3" s="3">
        <v>44708</v>
      </c>
      <c r="I3" s="3">
        <v>44708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40</v>
      </c>
      <c r="O3" s="2" t="s">
        <v>41</v>
      </c>
      <c r="P3" s="8">
        <v>5057949126365</v>
      </c>
      <c r="Q3" s="2" t="s">
        <v>30</v>
      </c>
      <c r="R3" s="2" t="s">
        <v>30</v>
      </c>
      <c r="S3" s="4" t="e">
        <f>VLOOKUP(P3,[2]StockItem!$R:$S,2,0)</f>
        <v>#N/A</v>
      </c>
      <c r="T3" s="2">
        <v>3</v>
      </c>
      <c r="U3" s="2">
        <v>3</v>
      </c>
      <c r="V3" s="2">
        <v>54.54</v>
      </c>
      <c r="W3" s="2">
        <v>163.62</v>
      </c>
      <c r="X3" s="2" t="s">
        <v>37</v>
      </c>
      <c r="Y3" s="2" t="s">
        <v>38</v>
      </c>
      <c r="Z3" s="2" t="s">
        <v>39</v>
      </c>
      <c r="AA3" s="2">
        <v>30</v>
      </c>
      <c r="AB3" s="2">
        <v>20</v>
      </c>
    </row>
    <row r="4" spans="1:28" s="2" customFormat="1">
      <c r="A4" s="2" t="s">
        <v>26</v>
      </c>
      <c r="B4" s="2" t="s">
        <v>75</v>
      </c>
      <c r="C4" s="2">
        <v>30761</v>
      </c>
      <c r="D4" s="2" t="s">
        <v>27</v>
      </c>
      <c r="E4" s="2" t="s">
        <v>28</v>
      </c>
      <c r="F4" s="2" t="s">
        <v>29</v>
      </c>
      <c r="G4" s="2" t="s">
        <v>30</v>
      </c>
      <c r="H4" s="3">
        <v>44708</v>
      </c>
      <c r="I4" s="3">
        <v>44708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42</v>
      </c>
      <c r="O4" s="2" t="s">
        <v>43</v>
      </c>
      <c r="P4" s="8">
        <v>5057949126372</v>
      </c>
      <c r="Q4" s="2" t="s">
        <v>30</v>
      </c>
      <c r="R4" s="2" t="s">
        <v>30</v>
      </c>
      <c r="S4" s="4" t="e">
        <f>VLOOKUP(P4,[2]StockItem!$R:$S,2,0)</f>
        <v>#N/A</v>
      </c>
      <c r="T4" s="2">
        <v>4</v>
      </c>
      <c r="U4" s="2">
        <v>4</v>
      </c>
      <c r="V4" s="2">
        <v>54.54</v>
      </c>
      <c r="W4" s="2">
        <v>218.16</v>
      </c>
      <c r="X4" s="2" t="s">
        <v>37</v>
      </c>
      <c r="Y4" s="2" t="s">
        <v>38</v>
      </c>
      <c r="Z4" s="2" t="s">
        <v>39</v>
      </c>
      <c r="AA4" s="2">
        <v>30</v>
      </c>
      <c r="AB4" s="2">
        <v>20</v>
      </c>
    </row>
    <row r="5" spans="1:28" s="2" customFormat="1">
      <c r="A5" s="2" t="s">
        <v>26</v>
      </c>
      <c r="B5" s="2" t="s">
        <v>75</v>
      </c>
      <c r="C5" s="2">
        <v>30761</v>
      </c>
      <c r="D5" s="2" t="s">
        <v>27</v>
      </c>
      <c r="E5" s="2" t="s">
        <v>28</v>
      </c>
      <c r="F5" s="2" t="s">
        <v>29</v>
      </c>
      <c r="G5" s="2" t="s">
        <v>30</v>
      </c>
      <c r="H5" s="3">
        <v>44708</v>
      </c>
      <c r="I5" s="3">
        <v>44708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44</v>
      </c>
      <c r="O5" s="2" t="s">
        <v>45</v>
      </c>
      <c r="P5" s="8">
        <v>5057949126402</v>
      </c>
      <c r="Q5" s="2" t="s">
        <v>30</v>
      </c>
      <c r="R5" s="2" t="s">
        <v>30</v>
      </c>
      <c r="S5" s="4" t="e">
        <f>VLOOKUP(P5,[2]StockItem!$R:$S,2,0)</f>
        <v>#N/A</v>
      </c>
      <c r="T5" s="2">
        <v>5</v>
      </c>
      <c r="U5" s="2">
        <v>5</v>
      </c>
      <c r="V5" s="2">
        <v>54.54</v>
      </c>
      <c r="W5" s="2">
        <v>272.7</v>
      </c>
      <c r="X5" s="2" t="s">
        <v>37</v>
      </c>
      <c r="Y5" s="2" t="s">
        <v>38</v>
      </c>
      <c r="Z5" s="2" t="s">
        <v>39</v>
      </c>
      <c r="AA5" s="2">
        <v>30</v>
      </c>
      <c r="AB5" s="2">
        <v>20</v>
      </c>
    </row>
    <row r="6" spans="1:28" s="2" customFormat="1">
      <c r="A6" s="2" t="s">
        <v>26</v>
      </c>
      <c r="B6" s="2" t="s">
        <v>75</v>
      </c>
      <c r="C6" s="2">
        <v>30761</v>
      </c>
      <c r="D6" s="2" t="s">
        <v>27</v>
      </c>
      <c r="E6" s="2" t="s">
        <v>28</v>
      </c>
      <c r="F6" s="2" t="s">
        <v>29</v>
      </c>
      <c r="G6" s="2" t="s">
        <v>30</v>
      </c>
      <c r="H6" s="3">
        <v>44708</v>
      </c>
      <c r="I6" s="3">
        <v>44708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46</v>
      </c>
      <c r="O6" s="2" t="s">
        <v>47</v>
      </c>
      <c r="P6" s="8">
        <v>5057949126419</v>
      </c>
      <c r="Q6" s="2" t="s">
        <v>30</v>
      </c>
      <c r="R6" s="2" t="s">
        <v>30</v>
      </c>
      <c r="S6" s="4" t="e">
        <f>VLOOKUP(P6,[2]StockItem!$R:$S,2,0)</f>
        <v>#N/A</v>
      </c>
      <c r="T6" s="2">
        <v>6</v>
      </c>
      <c r="U6" s="2">
        <v>6</v>
      </c>
      <c r="V6" s="2">
        <v>54.54</v>
      </c>
      <c r="W6" s="2">
        <v>327.24</v>
      </c>
      <c r="X6" s="2" t="s">
        <v>37</v>
      </c>
      <c r="Y6" s="2" t="s">
        <v>38</v>
      </c>
      <c r="Z6" s="2" t="s">
        <v>39</v>
      </c>
      <c r="AA6" s="2">
        <v>30</v>
      </c>
      <c r="AB6" s="2">
        <v>20</v>
      </c>
    </row>
    <row r="7" spans="1:28" s="4" customFormat="1">
      <c r="A7" s="4" t="s">
        <v>26</v>
      </c>
      <c r="B7" s="4" t="s">
        <v>75</v>
      </c>
      <c r="C7" s="4">
        <v>30761</v>
      </c>
      <c r="D7" s="4" t="s">
        <v>27</v>
      </c>
      <c r="E7" s="4" t="s">
        <v>28</v>
      </c>
      <c r="F7" s="4" t="s">
        <v>29</v>
      </c>
      <c r="G7" s="4" t="s">
        <v>30</v>
      </c>
      <c r="H7" s="5">
        <v>44708</v>
      </c>
      <c r="I7" s="5">
        <v>44708</v>
      </c>
      <c r="J7" s="4" t="s">
        <v>31</v>
      </c>
      <c r="K7" s="4" t="s">
        <v>32</v>
      </c>
      <c r="L7" s="4" t="s">
        <v>33</v>
      </c>
      <c r="M7" s="4" t="s">
        <v>48</v>
      </c>
      <c r="N7" s="4" t="s">
        <v>49</v>
      </c>
      <c r="O7" s="4" t="s">
        <v>50</v>
      </c>
      <c r="P7" s="6">
        <v>5057949222456</v>
      </c>
      <c r="Q7" s="4" t="s">
        <v>52</v>
      </c>
      <c r="R7" s="4" t="s">
        <v>156</v>
      </c>
      <c r="S7" s="4" t="e">
        <f>VLOOKUP(P7,[2]StockItem!$R:$S,2,0)</f>
        <v>#N/A</v>
      </c>
      <c r="T7" s="4">
        <v>1</v>
      </c>
      <c r="U7" s="4">
        <v>1</v>
      </c>
      <c r="V7" s="4">
        <v>54</v>
      </c>
      <c r="W7" s="4">
        <v>54</v>
      </c>
      <c r="X7" s="4" t="s">
        <v>37</v>
      </c>
      <c r="Y7" s="4" t="s">
        <v>38</v>
      </c>
      <c r="Z7" s="4" t="s">
        <v>39</v>
      </c>
      <c r="AA7" s="4">
        <v>30</v>
      </c>
      <c r="AB7" s="4">
        <v>20</v>
      </c>
    </row>
    <row r="8" spans="1:28" s="2" customFormat="1">
      <c r="A8" s="2" t="s">
        <v>26</v>
      </c>
      <c r="B8" s="2" t="s">
        <v>75</v>
      </c>
      <c r="C8" s="2">
        <v>30761</v>
      </c>
      <c r="D8" s="2" t="s">
        <v>27</v>
      </c>
      <c r="E8" s="2" t="s">
        <v>28</v>
      </c>
      <c r="F8" s="2" t="s">
        <v>29</v>
      </c>
      <c r="G8" s="2" t="s">
        <v>30</v>
      </c>
      <c r="H8" s="3">
        <v>44708</v>
      </c>
      <c r="I8" s="3">
        <v>44708</v>
      </c>
      <c r="J8" s="2" t="s">
        <v>53</v>
      </c>
      <c r="K8" s="2" t="s">
        <v>32</v>
      </c>
      <c r="L8" s="2" t="s">
        <v>33</v>
      </c>
      <c r="M8" s="2" t="s">
        <v>54</v>
      </c>
      <c r="N8" s="2" t="s">
        <v>55</v>
      </c>
      <c r="O8" s="2" t="s">
        <v>56</v>
      </c>
      <c r="P8" s="8">
        <v>5057091450066</v>
      </c>
      <c r="Q8" s="2" t="s">
        <v>57</v>
      </c>
      <c r="R8" s="2" t="s">
        <v>30</v>
      </c>
      <c r="S8" s="4" t="str">
        <f>VLOOKUP(P8,[2]StockItem!$R:$S,2,0)</f>
        <v>M</v>
      </c>
      <c r="T8" s="2">
        <v>6</v>
      </c>
      <c r="U8" s="2">
        <v>6</v>
      </c>
      <c r="V8" s="2">
        <v>3.45</v>
      </c>
      <c r="W8" s="2">
        <v>20.7</v>
      </c>
      <c r="X8" s="2" t="s">
        <v>37</v>
      </c>
      <c r="Y8" s="2" t="s">
        <v>38</v>
      </c>
      <c r="Z8" s="2" t="s">
        <v>39</v>
      </c>
      <c r="AA8" s="2">
        <v>25</v>
      </c>
      <c r="AB8" s="2">
        <v>20</v>
      </c>
    </row>
    <row r="9" spans="1:28" s="2" customFormat="1">
      <c r="A9" s="2" t="s">
        <v>26</v>
      </c>
      <c r="B9" s="2" t="s">
        <v>75</v>
      </c>
      <c r="C9" s="2">
        <v>30761</v>
      </c>
      <c r="D9" s="2" t="s">
        <v>27</v>
      </c>
      <c r="E9" s="2" t="s">
        <v>28</v>
      </c>
      <c r="F9" s="2" t="s">
        <v>29</v>
      </c>
      <c r="G9" s="2" t="s">
        <v>30</v>
      </c>
      <c r="H9" s="3">
        <v>44708</v>
      </c>
      <c r="I9" s="3">
        <v>44708</v>
      </c>
      <c r="J9" s="2" t="s">
        <v>53</v>
      </c>
      <c r="K9" s="2" t="s">
        <v>32</v>
      </c>
      <c r="L9" s="2" t="s">
        <v>33</v>
      </c>
      <c r="M9" s="2" t="s">
        <v>54</v>
      </c>
      <c r="N9" s="2" t="s">
        <v>55</v>
      </c>
      <c r="O9" s="2" t="s">
        <v>56</v>
      </c>
      <c r="P9" s="8">
        <v>5057091450073</v>
      </c>
      <c r="Q9" s="2" t="s">
        <v>57</v>
      </c>
      <c r="R9" s="2" t="s">
        <v>30</v>
      </c>
      <c r="S9" s="4" t="str">
        <f>VLOOKUP(P9,[2]StockItem!$R:$S,2,0)</f>
        <v>L</v>
      </c>
      <c r="T9" s="2">
        <v>8</v>
      </c>
      <c r="U9" s="2">
        <v>8</v>
      </c>
      <c r="V9" s="2">
        <v>3.45</v>
      </c>
      <c r="W9" s="2">
        <v>27.6</v>
      </c>
      <c r="X9" s="2" t="s">
        <v>37</v>
      </c>
      <c r="Y9" s="2" t="s">
        <v>38</v>
      </c>
      <c r="Z9" s="2" t="s">
        <v>39</v>
      </c>
      <c r="AA9" s="2">
        <v>25</v>
      </c>
      <c r="AB9" s="2">
        <v>20</v>
      </c>
    </row>
    <row r="10" spans="1:28" s="2" customFormat="1">
      <c r="A10" s="2" t="s">
        <v>26</v>
      </c>
      <c r="B10" s="2" t="s">
        <v>75</v>
      </c>
      <c r="C10" s="2">
        <v>30761</v>
      </c>
      <c r="D10" s="2" t="s">
        <v>27</v>
      </c>
      <c r="E10" s="2" t="s">
        <v>28</v>
      </c>
      <c r="F10" s="2" t="s">
        <v>29</v>
      </c>
      <c r="G10" s="2" t="s">
        <v>30</v>
      </c>
      <c r="H10" s="3">
        <v>44708</v>
      </c>
      <c r="I10" s="3">
        <v>44708</v>
      </c>
      <c r="J10" s="2" t="s">
        <v>53</v>
      </c>
      <c r="K10" s="2" t="s">
        <v>32</v>
      </c>
      <c r="L10" s="2" t="s">
        <v>33</v>
      </c>
      <c r="M10" s="2" t="s">
        <v>54</v>
      </c>
      <c r="N10" s="2" t="s">
        <v>55</v>
      </c>
      <c r="O10" s="2" t="s">
        <v>56</v>
      </c>
      <c r="P10" s="8">
        <v>5057091450080</v>
      </c>
      <c r="Q10" s="2" t="s">
        <v>57</v>
      </c>
      <c r="R10" s="2" t="s">
        <v>30</v>
      </c>
      <c r="S10" s="4" t="str">
        <f>VLOOKUP(P10,[2]StockItem!$R:$S,2,0)</f>
        <v>XL</v>
      </c>
      <c r="T10" s="2">
        <v>6</v>
      </c>
      <c r="U10" s="2">
        <v>6</v>
      </c>
      <c r="V10" s="2">
        <v>3.45</v>
      </c>
      <c r="W10" s="2">
        <v>20.7</v>
      </c>
      <c r="X10" s="2" t="s">
        <v>37</v>
      </c>
      <c r="Y10" s="2" t="s">
        <v>38</v>
      </c>
      <c r="Z10" s="2" t="s">
        <v>39</v>
      </c>
      <c r="AA10" s="2">
        <v>25</v>
      </c>
      <c r="AB10" s="2">
        <v>20</v>
      </c>
    </row>
    <row r="11" spans="1:28" s="2" customFormat="1">
      <c r="A11" s="2" t="s">
        <v>26</v>
      </c>
      <c r="B11" s="2" t="s">
        <v>75</v>
      </c>
      <c r="C11" s="2">
        <v>30761</v>
      </c>
      <c r="D11" s="2" t="s">
        <v>27</v>
      </c>
      <c r="E11" s="2" t="s">
        <v>28</v>
      </c>
      <c r="F11" s="2" t="s">
        <v>29</v>
      </c>
      <c r="G11" s="2" t="s">
        <v>30</v>
      </c>
      <c r="H11" s="3">
        <v>44708</v>
      </c>
      <c r="I11" s="3">
        <v>44708</v>
      </c>
      <c r="J11" s="2" t="s">
        <v>53</v>
      </c>
      <c r="K11" s="2" t="s">
        <v>32</v>
      </c>
      <c r="L11" s="2" t="s">
        <v>33</v>
      </c>
      <c r="M11" s="2" t="s">
        <v>54</v>
      </c>
      <c r="N11" s="2" t="s">
        <v>55</v>
      </c>
      <c r="O11" s="2" t="s">
        <v>56</v>
      </c>
      <c r="P11" s="8">
        <v>5057091450097</v>
      </c>
      <c r="Q11" s="2" t="s">
        <v>57</v>
      </c>
      <c r="R11" s="2" t="s">
        <v>30</v>
      </c>
      <c r="S11" s="4" t="str">
        <f>VLOOKUP(P11,[2]StockItem!$R:$S,2,0)</f>
        <v>XXL</v>
      </c>
      <c r="T11" s="2">
        <v>4</v>
      </c>
      <c r="U11" s="2">
        <v>4</v>
      </c>
      <c r="V11" s="2">
        <v>3.45</v>
      </c>
      <c r="W11" s="2">
        <v>13.8</v>
      </c>
      <c r="X11" s="2" t="s">
        <v>37</v>
      </c>
      <c r="Y11" s="2" t="s">
        <v>38</v>
      </c>
      <c r="Z11" s="2" t="s">
        <v>39</v>
      </c>
      <c r="AA11" s="2">
        <v>25</v>
      </c>
      <c r="AB11" s="2">
        <v>20</v>
      </c>
    </row>
    <row r="12" spans="1:28" s="2" customFormat="1">
      <c r="A12" s="2" t="s">
        <v>26</v>
      </c>
      <c r="B12" s="2" t="s">
        <v>75</v>
      </c>
      <c r="C12" s="2">
        <v>30761</v>
      </c>
      <c r="D12" s="2" t="s">
        <v>27</v>
      </c>
      <c r="E12" s="2" t="s">
        <v>28</v>
      </c>
      <c r="F12" s="2" t="s">
        <v>29</v>
      </c>
      <c r="G12" s="2" t="s">
        <v>30</v>
      </c>
      <c r="H12" s="3">
        <v>44708</v>
      </c>
      <c r="I12" s="3">
        <v>44708</v>
      </c>
      <c r="J12" s="2" t="s">
        <v>53</v>
      </c>
      <c r="K12" s="2" t="s">
        <v>32</v>
      </c>
      <c r="L12" s="2" t="s">
        <v>33</v>
      </c>
      <c r="M12" s="2" t="s">
        <v>54</v>
      </c>
      <c r="N12" s="2" t="s">
        <v>55</v>
      </c>
      <c r="O12" s="2" t="s">
        <v>56</v>
      </c>
      <c r="P12" s="8">
        <v>5057091450103</v>
      </c>
      <c r="Q12" s="2" t="s">
        <v>58</v>
      </c>
      <c r="R12" s="2" t="s">
        <v>30</v>
      </c>
      <c r="S12" s="4" t="str">
        <f>VLOOKUP(P12,[2]StockItem!$R:$S,2,0)</f>
        <v>M</v>
      </c>
      <c r="T12" s="2">
        <v>6</v>
      </c>
      <c r="U12" s="2">
        <v>6</v>
      </c>
      <c r="V12" s="2">
        <v>3.45</v>
      </c>
      <c r="W12" s="2">
        <v>20.7</v>
      </c>
      <c r="X12" s="2" t="s">
        <v>37</v>
      </c>
      <c r="Y12" s="2" t="s">
        <v>38</v>
      </c>
      <c r="Z12" s="2" t="s">
        <v>39</v>
      </c>
      <c r="AA12" s="2">
        <v>25</v>
      </c>
      <c r="AB12" s="2">
        <v>20</v>
      </c>
    </row>
    <row r="13" spans="1:28" s="2" customFormat="1">
      <c r="A13" s="2" t="s">
        <v>26</v>
      </c>
      <c r="B13" s="2" t="s">
        <v>75</v>
      </c>
      <c r="C13" s="2">
        <v>30761</v>
      </c>
      <c r="D13" s="2" t="s">
        <v>27</v>
      </c>
      <c r="E13" s="2" t="s">
        <v>28</v>
      </c>
      <c r="F13" s="2" t="s">
        <v>29</v>
      </c>
      <c r="G13" s="2" t="s">
        <v>30</v>
      </c>
      <c r="H13" s="3">
        <v>44708</v>
      </c>
      <c r="I13" s="3">
        <v>44708</v>
      </c>
      <c r="J13" s="2" t="s">
        <v>53</v>
      </c>
      <c r="K13" s="2" t="s">
        <v>32</v>
      </c>
      <c r="L13" s="2" t="s">
        <v>33</v>
      </c>
      <c r="M13" s="2" t="s">
        <v>54</v>
      </c>
      <c r="N13" s="2" t="s">
        <v>55</v>
      </c>
      <c r="O13" s="2" t="s">
        <v>56</v>
      </c>
      <c r="P13" s="8">
        <v>5057091450110</v>
      </c>
      <c r="Q13" s="2" t="s">
        <v>58</v>
      </c>
      <c r="R13" s="2" t="s">
        <v>30</v>
      </c>
      <c r="S13" s="4" t="str">
        <f>VLOOKUP(P13,[2]StockItem!$R:$S,2,0)</f>
        <v>L</v>
      </c>
      <c r="T13" s="2">
        <v>8</v>
      </c>
      <c r="U13" s="2">
        <v>8</v>
      </c>
      <c r="V13" s="2">
        <v>3.45</v>
      </c>
      <c r="W13" s="2">
        <v>27.6</v>
      </c>
      <c r="X13" s="2" t="s">
        <v>37</v>
      </c>
      <c r="Y13" s="2" t="s">
        <v>38</v>
      </c>
      <c r="Z13" s="2" t="s">
        <v>39</v>
      </c>
      <c r="AA13" s="2">
        <v>25</v>
      </c>
      <c r="AB13" s="2">
        <v>20</v>
      </c>
    </row>
    <row r="14" spans="1:28" s="2" customFormat="1">
      <c r="A14" s="2" t="s">
        <v>26</v>
      </c>
      <c r="B14" s="2" t="s">
        <v>75</v>
      </c>
      <c r="C14" s="2">
        <v>30761</v>
      </c>
      <c r="D14" s="2" t="s">
        <v>27</v>
      </c>
      <c r="E14" s="2" t="s">
        <v>28</v>
      </c>
      <c r="F14" s="2" t="s">
        <v>29</v>
      </c>
      <c r="G14" s="2" t="s">
        <v>30</v>
      </c>
      <c r="H14" s="3">
        <v>44708</v>
      </c>
      <c r="I14" s="3">
        <v>44708</v>
      </c>
      <c r="J14" s="2" t="s">
        <v>53</v>
      </c>
      <c r="K14" s="2" t="s">
        <v>32</v>
      </c>
      <c r="L14" s="2" t="s">
        <v>33</v>
      </c>
      <c r="M14" s="2" t="s">
        <v>54</v>
      </c>
      <c r="N14" s="2" t="s">
        <v>55</v>
      </c>
      <c r="O14" s="2" t="s">
        <v>56</v>
      </c>
      <c r="P14" s="8">
        <v>5057091450127</v>
      </c>
      <c r="Q14" s="2" t="s">
        <v>58</v>
      </c>
      <c r="R14" s="2" t="s">
        <v>30</v>
      </c>
      <c r="S14" s="4" t="str">
        <f>VLOOKUP(P14,[2]StockItem!$R:$S,2,0)</f>
        <v>XL</v>
      </c>
      <c r="T14" s="2">
        <v>6</v>
      </c>
      <c r="U14" s="2">
        <v>6</v>
      </c>
      <c r="V14" s="2">
        <v>3.45</v>
      </c>
      <c r="W14" s="2">
        <v>20.7</v>
      </c>
      <c r="X14" s="2" t="s">
        <v>37</v>
      </c>
      <c r="Y14" s="2" t="s">
        <v>38</v>
      </c>
      <c r="Z14" s="2" t="s">
        <v>39</v>
      </c>
      <c r="AA14" s="2">
        <v>25</v>
      </c>
      <c r="AB14" s="2">
        <v>20</v>
      </c>
    </row>
    <row r="15" spans="1:28" s="2" customFormat="1">
      <c r="A15" s="2" t="s">
        <v>26</v>
      </c>
      <c r="B15" s="2" t="s">
        <v>75</v>
      </c>
      <c r="C15" s="2">
        <v>30761</v>
      </c>
      <c r="D15" s="2" t="s">
        <v>27</v>
      </c>
      <c r="E15" s="2" t="s">
        <v>28</v>
      </c>
      <c r="F15" s="2" t="s">
        <v>29</v>
      </c>
      <c r="G15" s="2" t="s">
        <v>30</v>
      </c>
      <c r="H15" s="3">
        <v>44708</v>
      </c>
      <c r="I15" s="3">
        <v>44708</v>
      </c>
      <c r="J15" s="2" t="s">
        <v>53</v>
      </c>
      <c r="K15" s="2" t="s">
        <v>32</v>
      </c>
      <c r="L15" s="2" t="s">
        <v>33</v>
      </c>
      <c r="M15" s="2" t="s">
        <v>54</v>
      </c>
      <c r="N15" s="2" t="s">
        <v>55</v>
      </c>
      <c r="O15" s="2" t="s">
        <v>56</v>
      </c>
      <c r="P15" s="8">
        <v>5057091450134</v>
      </c>
      <c r="Q15" s="2" t="s">
        <v>58</v>
      </c>
      <c r="R15" s="2" t="s">
        <v>30</v>
      </c>
      <c r="S15" s="4" t="str">
        <f>VLOOKUP(P15,[2]StockItem!$R:$S,2,0)</f>
        <v>XXL</v>
      </c>
      <c r="T15" s="2">
        <v>4</v>
      </c>
      <c r="U15" s="2">
        <v>4</v>
      </c>
      <c r="V15" s="2">
        <v>3.45</v>
      </c>
      <c r="W15" s="2">
        <v>13.8</v>
      </c>
      <c r="X15" s="2" t="s">
        <v>37</v>
      </c>
      <c r="Y15" s="2" t="s">
        <v>38</v>
      </c>
      <c r="Z15" s="2" t="s">
        <v>39</v>
      </c>
      <c r="AA15" s="2">
        <v>25</v>
      </c>
      <c r="AB15" s="2">
        <v>20</v>
      </c>
    </row>
    <row r="16" spans="1:28" s="4" customFormat="1">
      <c r="A16" s="4" t="s">
        <v>26</v>
      </c>
      <c r="B16" s="4" t="s">
        <v>75</v>
      </c>
      <c r="C16" s="4">
        <v>30761</v>
      </c>
      <c r="D16" s="4" t="s">
        <v>27</v>
      </c>
      <c r="E16" s="4" t="s">
        <v>28</v>
      </c>
      <c r="F16" s="4" t="s">
        <v>29</v>
      </c>
      <c r="G16" s="4" t="s">
        <v>30</v>
      </c>
      <c r="H16" s="5">
        <v>44708</v>
      </c>
      <c r="I16" s="5">
        <v>44708</v>
      </c>
      <c r="J16" s="4" t="s">
        <v>59</v>
      </c>
      <c r="K16" s="4" t="s">
        <v>32</v>
      </c>
      <c r="L16" s="4" t="s">
        <v>33</v>
      </c>
      <c r="M16" s="4" t="s">
        <v>60</v>
      </c>
      <c r="N16" s="4" t="s">
        <v>61</v>
      </c>
      <c r="O16" s="4" t="s">
        <v>62</v>
      </c>
      <c r="P16" s="6">
        <v>5057091438989</v>
      </c>
      <c r="Q16" s="4" t="s">
        <v>64</v>
      </c>
      <c r="R16" s="4" t="str">
        <f>VLOOKUP(Q16,[1]Planning!$L:$M, 2,0)</f>
        <v>GREEN</v>
      </c>
      <c r="S16" s="4" t="e">
        <f>VLOOKUP(P16,[2]StockItem!$R:$S,2,0)</f>
        <v>#N/A</v>
      </c>
      <c r="T16" s="4">
        <v>1</v>
      </c>
      <c r="U16" s="4">
        <v>1</v>
      </c>
      <c r="V16" s="4">
        <v>18</v>
      </c>
      <c r="W16" s="4">
        <v>18</v>
      </c>
      <c r="X16" s="4" t="s">
        <v>37</v>
      </c>
      <c r="Y16" s="4" t="s">
        <v>38</v>
      </c>
      <c r="Z16" s="4" t="s">
        <v>39</v>
      </c>
      <c r="AA16" s="4">
        <v>9.99</v>
      </c>
      <c r="AB16" s="4">
        <v>6.99</v>
      </c>
    </row>
    <row r="17" spans="1:28" s="4" customFormat="1">
      <c r="A17" s="4" t="s">
        <v>26</v>
      </c>
      <c r="B17" s="4" t="s">
        <v>75</v>
      </c>
      <c r="C17" s="4">
        <v>30761</v>
      </c>
      <c r="D17" s="4" t="s">
        <v>27</v>
      </c>
      <c r="E17" s="4" t="s">
        <v>28</v>
      </c>
      <c r="F17" s="4" t="s">
        <v>29</v>
      </c>
      <c r="G17" s="4" t="s">
        <v>30</v>
      </c>
      <c r="H17" s="5">
        <v>44708</v>
      </c>
      <c r="I17" s="5">
        <v>44708</v>
      </c>
      <c r="J17" s="4" t="s">
        <v>31</v>
      </c>
      <c r="K17" s="4" t="s">
        <v>32</v>
      </c>
      <c r="L17" s="4" t="s">
        <v>33</v>
      </c>
      <c r="M17" s="4" t="s">
        <v>65</v>
      </c>
      <c r="N17" s="4" t="s">
        <v>66</v>
      </c>
      <c r="O17" s="4" t="s">
        <v>67</v>
      </c>
      <c r="P17" s="6">
        <v>5057091439542</v>
      </c>
      <c r="Q17" s="4" t="s">
        <v>69</v>
      </c>
      <c r="R17" s="4" t="s">
        <v>157</v>
      </c>
      <c r="S17" s="4" t="e">
        <f>VLOOKUP(P17,[2]StockItem!$R:$S,2,0)</f>
        <v>#N/A</v>
      </c>
      <c r="T17" s="4">
        <v>1</v>
      </c>
      <c r="U17" s="4">
        <v>1</v>
      </c>
      <c r="V17" s="4">
        <v>54</v>
      </c>
      <c r="W17" s="4">
        <v>54</v>
      </c>
      <c r="X17" s="4" t="s">
        <v>37</v>
      </c>
      <c r="Y17" s="4" t="s">
        <v>38</v>
      </c>
      <c r="Z17" s="4" t="s">
        <v>39</v>
      </c>
      <c r="AA17" s="4">
        <v>30</v>
      </c>
      <c r="AB17" s="4">
        <v>20</v>
      </c>
    </row>
    <row r="18" spans="1:28" s="4" customFormat="1">
      <c r="A18" s="4" t="s">
        <v>26</v>
      </c>
      <c r="B18" s="4" t="s">
        <v>75</v>
      </c>
      <c r="C18" s="4">
        <v>30761</v>
      </c>
      <c r="D18" s="4" t="s">
        <v>27</v>
      </c>
      <c r="E18" s="4" t="s">
        <v>28</v>
      </c>
      <c r="F18" s="4" t="s">
        <v>29</v>
      </c>
      <c r="G18" s="4" t="s">
        <v>30</v>
      </c>
      <c r="H18" s="5">
        <v>44708</v>
      </c>
      <c r="I18" s="5">
        <v>44708</v>
      </c>
      <c r="J18" s="4" t="s">
        <v>31</v>
      </c>
      <c r="K18" s="4" t="s">
        <v>32</v>
      </c>
      <c r="L18" s="4" t="s">
        <v>33</v>
      </c>
      <c r="M18" s="4" t="s">
        <v>70</v>
      </c>
      <c r="N18" s="4" t="s">
        <v>71</v>
      </c>
      <c r="O18" s="4" t="s">
        <v>72</v>
      </c>
      <c r="P18" s="6">
        <v>5057091439689</v>
      </c>
      <c r="Q18" s="4" t="s">
        <v>74</v>
      </c>
      <c r="R18" s="4" t="str">
        <f>VLOOKUP(Q18,[1]Planning!$L:$M, 2,0)</f>
        <v>NAVY</v>
      </c>
      <c r="S18" s="4" t="e">
        <f>VLOOKUP(P18,[2]StockItem!$R:$S,2,0)</f>
        <v>#N/A</v>
      </c>
      <c r="T18" s="4">
        <v>1</v>
      </c>
      <c r="U18" s="4">
        <v>1</v>
      </c>
      <c r="V18" s="4">
        <v>87.6</v>
      </c>
      <c r="W18" s="4">
        <v>87.6</v>
      </c>
      <c r="X18" s="4" t="s">
        <v>37</v>
      </c>
      <c r="Y18" s="4" t="s">
        <v>38</v>
      </c>
      <c r="Z18" s="4" t="s">
        <v>39</v>
      </c>
      <c r="AA18" s="4">
        <v>40</v>
      </c>
      <c r="AB18" s="4">
        <v>20</v>
      </c>
    </row>
    <row r="19" spans="1:28" s="2" customFormat="1">
      <c r="A19" s="2" t="s">
        <v>26</v>
      </c>
      <c r="B19" s="2" t="s">
        <v>86</v>
      </c>
      <c r="C19" s="2">
        <v>30769</v>
      </c>
      <c r="D19" s="2" t="s">
        <v>27</v>
      </c>
      <c r="E19" s="2" t="s">
        <v>76</v>
      </c>
      <c r="F19" s="2" t="s">
        <v>29</v>
      </c>
      <c r="G19" s="2" t="s">
        <v>30</v>
      </c>
      <c r="H19" s="3">
        <v>44711</v>
      </c>
      <c r="I19" s="3">
        <v>44711</v>
      </c>
      <c r="J19" s="2" t="s">
        <v>31</v>
      </c>
      <c r="K19" s="2" t="s">
        <v>77</v>
      </c>
      <c r="L19" s="2" t="s">
        <v>78</v>
      </c>
      <c r="M19" s="2" t="s">
        <v>34</v>
      </c>
      <c r="N19" s="2" t="s">
        <v>35</v>
      </c>
      <c r="O19" s="2" t="s">
        <v>36</v>
      </c>
      <c r="P19" s="8">
        <v>5057949126358</v>
      </c>
      <c r="Q19" s="2" t="s">
        <v>30</v>
      </c>
      <c r="R19" s="2" t="s">
        <v>30</v>
      </c>
      <c r="S19" s="4" t="e">
        <f>VLOOKUP(P19,[2]StockItem!$R:$S,2,0)</f>
        <v>#N/A</v>
      </c>
      <c r="T19" s="2">
        <v>2</v>
      </c>
      <c r="U19" s="2">
        <v>2</v>
      </c>
      <c r="V19" s="2">
        <v>54.54</v>
      </c>
      <c r="W19" s="2">
        <v>109.08</v>
      </c>
      <c r="X19" s="2" t="s">
        <v>37</v>
      </c>
      <c r="Y19" s="2" t="s">
        <v>38</v>
      </c>
      <c r="Z19" s="2" t="s">
        <v>39</v>
      </c>
      <c r="AA19" s="2">
        <v>30</v>
      </c>
      <c r="AB19" s="2">
        <v>20</v>
      </c>
    </row>
    <row r="20" spans="1:28" s="2" customFormat="1">
      <c r="A20" s="2" t="s">
        <v>26</v>
      </c>
      <c r="B20" s="2" t="s">
        <v>86</v>
      </c>
      <c r="C20" s="2">
        <v>30769</v>
      </c>
      <c r="D20" s="2" t="s">
        <v>27</v>
      </c>
      <c r="E20" s="2" t="s">
        <v>76</v>
      </c>
      <c r="F20" s="2" t="s">
        <v>29</v>
      </c>
      <c r="G20" s="2" t="s">
        <v>30</v>
      </c>
      <c r="H20" s="3">
        <v>44711</v>
      </c>
      <c r="I20" s="3">
        <v>44711</v>
      </c>
      <c r="J20" s="2" t="s">
        <v>53</v>
      </c>
      <c r="K20" s="2" t="s">
        <v>77</v>
      </c>
      <c r="L20" s="2" t="s">
        <v>78</v>
      </c>
      <c r="M20" s="2" t="s">
        <v>54</v>
      </c>
      <c r="N20" s="2" t="s">
        <v>55</v>
      </c>
      <c r="O20" s="2" t="s">
        <v>56</v>
      </c>
      <c r="P20" s="8">
        <v>5057091450127</v>
      </c>
      <c r="Q20" s="2" t="s">
        <v>58</v>
      </c>
      <c r="R20" s="2" t="s">
        <v>30</v>
      </c>
      <c r="S20" s="4" t="str">
        <f>VLOOKUP(P20,[2]StockItem!$R:$S,2,0)</f>
        <v>XL</v>
      </c>
      <c r="T20" s="2">
        <v>6</v>
      </c>
      <c r="U20" s="2">
        <v>6</v>
      </c>
      <c r="V20" s="2">
        <v>3.45</v>
      </c>
      <c r="W20" s="2">
        <v>20.7</v>
      </c>
      <c r="X20" s="2" t="s">
        <v>37</v>
      </c>
      <c r="Y20" s="2" t="s">
        <v>38</v>
      </c>
      <c r="Z20" s="2" t="s">
        <v>39</v>
      </c>
      <c r="AA20" s="2">
        <v>25</v>
      </c>
      <c r="AB20" s="2">
        <v>20</v>
      </c>
    </row>
    <row r="21" spans="1:28" s="2" customFormat="1">
      <c r="A21" s="2" t="s">
        <v>26</v>
      </c>
      <c r="B21" s="2" t="s">
        <v>86</v>
      </c>
      <c r="C21" s="2">
        <v>30769</v>
      </c>
      <c r="D21" s="2" t="s">
        <v>27</v>
      </c>
      <c r="E21" s="2" t="s">
        <v>76</v>
      </c>
      <c r="F21" s="2" t="s">
        <v>29</v>
      </c>
      <c r="G21" s="2" t="s">
        <v>30</v>
      </c>
      <c r="H21" s="3">
        <v>44711</v>
      </c>
      <c r="I21" s="3">
        <v>44711</v>
      </c>
      <c r="J21" s="2" t="s">
        <v>53</v>
      </c>
      <c r="K21" s="2" t="s">
        <v>77</v>
      </c>
      <c r="L21" s="2" t="s">
        <v>78</v>
      </c>
      <c r="M21" s="2" t="s">
        <v>54</v>
      </c>
      <c r="N21" s="2" t="s">
        <v>55</v>
      </c>
      <c r="O21" s="2" t="s">
        <v>56</v>
      </c>
      <c r="P21" s="8">
        <v>5057091450134</v>
      </c>
      <c r="Q21" s="2" t="s">
        <v>58</v>
      </c>
      <c r="R21" s="2" t="s">
        <v>30</v>
      </c>
      <c r="S21" s="4" t="str">
        <f>VLOOKUP(P21,[2]StockItem!$R:$S,2,0)</f>
        <v>XXL</v>
      </c>
      <c r="T21" s="2">
        <v>4</v>
      </c>
      <c r="U21" s="2">
        <v>4</v>
      </c>
      <c r="V21" s="2">
        <v>3.45</v>
      </c>
      <c r="W21" s="2">
        <v>13.8</v>
      </c>
      <c r="X21" s="2" t="s">
        <v>37</v>
      </c>
      <c r="Y21" s="2" t="s">
        <v>38</v>
      </c>
      <c r="Z21" s="2" t="s">
        <v>39</v>
      </c>
      <c r="AA21" s="2">
        <v>25</v>
      </c>
      <c r="AB21" s="2">
        <v>20</v>
      </c>
    </row>
    <row r="22" spans="1:28" s="2" customFormat="1">
      <c r="A22" s="2" t="s">
        <v>26</v>
      </c>
      <c r="B22" s="2" t="s">
        <v>86</v>
      </c>
      <c r="C22" s="2">
        <v>30769</v>
      </c>
      <c r="D22" s="2" t="s">
        <v>27</v>
      </c>
      <c r="E22" s="2" t="s">
        <v>76</v>
      </c>
      <c r="F22" s="2" t="s">
        <v>29</v>
      </c>
      <c r="G22" s="2" t="s">
        <v>30</v>
      </c>
      <c r="H22" s="3">
        <v>44711</v>
      </c>
      <c r="I22" s="3">
        <v>44711</v>
      </c>
      <c r="J22" s="2" t="s">
        <v>53</v>
      </c>
      <c r="K22" s="2" t="s">
        <v>77</v>
      </c>
      <c r="L22" s="2" t="s">
        <v>78</v>
      </c>
      <c r="M22" s="2" t="s">
        <v>54</v>
      </c>
      <c r="N22" s="2" t="s">
        <v>55</v>
      </c>
      <c r="O22" s="2" t="s">
        <v>56</v>
      </c>
      <c r="P22" s="8">
        <v>5057091450066</v>
      </c>
      <c r="Q22" s="2" t="s">
        <v>57</v>
      </c>
      <c r="R22" s="2" t="s">
        <v>30</v>
      </c>
      <c r="S22" s="4" t="str">
        <f>VLOOKUP(P22,[2]StockItem!$R:$S,2,0)</f>
        <v>M</v>
      </c>
      <c r="T22" s="2">
        <v>6</v>
      </c>
      <c r="U22" s="2">
        <v>6</v>
      </c>
      <c r="V22" s="2">
        <v>3.45</v>
      </c>
      <c r="W22" s="2">
        <v>20.7</v>
      </c>
      <c r="X22" s="2" t="s">
        <v>37</v>
      </c>
      <c r="Y22" s="2" t="s">
        <v>38</v>
      </c>
      <c r="Z22" s="2" t="s">
        <v>39</v>
      </c>
      <c r="AA22" s="2">
        <v>25</v>
      </c>
      <c r="AB22" s="2">
        <v>20</v>
      </c>
    </row>
    <row r="23" spans="1:28" s="2" customFormat="1">
      <c r="A23" s="2" t="s">
        <v>26</v>
      </c>
      <c r="B23" s="2" t="s">
        <v>86</v>
      </c>
      <c r="C23" s="2">
        <v>30769</v>
      </c>
      <c r="D23" s="2" t="s">
        <v>27</v>
      </c>
      <c r="E23" s="2" t="s">
        <v>76</v>
      </c>
      <c r="F23" s="2" t="s">
        <v>29</v>
      </c>
      <c r="G23" s="2" t="s">
        <v>30</v>
      </c>
      <c r="H23" s="3">
        <v>44711</v>
      </c>
      <c r="I23" s="3">
        <v>44711</v>
      </c>
      <c r="J23" s="2" t="s">
        <v>53</v>
      </c>
      <c r="K23" s="2" t="s">
        <v>77</v>
      </c>
      <c r="L23" s="2" t="s">
        <v>78</v>
      </c>
      <c r="M23" s="2" t="s">
        <v>54</v>
      </c>
      <c r="N23" s="2" t="s">
        <v>55</v>
      </c>
      <c r="O23" s="2" t="s">
        <v>56</v>
      </c>
      <c r="P23" s="8">
        <v>5057091450073</v>
      </c>
      <c r="Q23" s="2" t="s">
        <v>57</v>
      </c>
      <c r="R23" s="2" t="s">
        <v>30</v>
      </c>
      <c r="S23" s="4" t="str">
        <f>VLOOKUP(P23,[2]StockItem!$R:$S,2,0)</f>
        <v>L</v>
      </c>
      <c r="T23" s="2">
        <v>8</v>
      </c>
      <c r="U23" s="2">
        <v>8</v>
      </c>
      <c r="V23" s="2">
        <v>3.45</v>
      </c>
      <c r="W23" s="2">
        <v>27.6</v>
      </c>
      <c r="X23" s="2" t="s">
        <v>37</v>
      </c>
      <c r="Y23" s="2" t="s">
        <v>38</v>
      </c>
      <c r="Z23" s="2" t="s">
        <v>39</v>
      </c>
      <c r="AA23" s="2">
        <v>25</v>
      </c>
      <c r="AB23" s="2">
        <v>20</v>
      </c>
    </row>
    <row r="24" spans="1:28" s="2" customFormat="1">
      <c r="A24" s="2" t="s">
        <v>26</v>
      </c>
      <c r="B24" s="2" t="s">
        <v>86</v>
      </c>
      <c r="C24" s="2">
        <v>30769</v>
      </c>
      <c r="D24" s="2" t="s">
        <v>27</v>
      </c>
      <c r="E24" s="2" t="s">
        <v>76</v>
      </c>
      <c r="F24" s="2" t="s">
        <v>29</v>
      </c>
      <c r="G24" s="2" t="s">
        <v>30</v>
      </c>
      <c r="H24" s="3">
        <v>44711</v>
      </c>
      <c r="I24" s="3">
        <v>44711</v>
      </c>
      <c r="J24" s="2" t="s">
        <v>53</v>
      </c>
      <c r="K24" s="2" t="s">
        <v>77</v>
      </c>
      <c r="L24" s="2" t="s">
        <v>78</v>
      </c>
      <c r="M24" s="2" t="s">
        <v>54</v>
      </c>
      <c r="N24" s="2" t="s">
        <v>55</v>
      </c>
      <c r="O24" s="2" t="s">
        <v>56</v>
      </c>
      <c r="P24" s="8">
        <v>5057091450080</v>
      </c>
      <c r="Q24" s="2" t="s">
        <v>57</v>
      </c>
      <c r="R24" s="2" t="s">
        <v>30</v>
      </c>
      <c r="S24" s="4" t="str">
        <f>VLOOKUP(P24,[2]StockItem!$R:$S,2,0)</f>
        <v>XL</v>
      </c>
      <c r="T24" s="2">
        <v>6</v>
      </c>
      <c r="U24" s="2">
        <v>6</v>
      </c>
      <c r="V24" s="2">
        <v>3.45</v>
      </c>
      <c r="W24" s="2">
        <v>20.7</v>
      </c>
      <c r="X24" s="2" t="s">
        <v>37</v>
      </c>
      <c r="Y24" s="2" t="s">
        <v>38</v>
      </c>
      <c r="Z24" s="2" t="s">
        <v>39</v>
      </c>
      <c r="AA24" s="2">
        <v>25</v>
      </c>
      <c r="AB24" s="2">
        <v>20</v>
      </c>
    </row>
    <row r="25" spans="1:28" s="2" customFormat="1">
      <c r="A25" s="2" t="s">
        <v>26</v>
      </c>
      <c r="B25" s="2" t="s">
        <v>86</v>
      </c>
      <c r="C25" s="2">
        <v>30769</v>
      </c>
      <c r="D25" s="2" t="s">
        <v>27</v>
      </c>
      <c r="E25" s="2" t="s">
        <v>76</v>
      </c>
      <c r="F25" s="2" t="s">
        <v>29</v>
      </c>
      <c r="G25" s="2" t="s">
        <v>30</v>
      </c>
      <c r="H25" s="3">
        <v>44711</v>
      </c>
      <c r="I25" s="3">
        <v>44711</v>
      </c>
      <c r="J25" s="2" t="s">
        <v>53</v>
      </c>
      <c r="K25" s="2" t="s">
        <v>77</v>
      </c>
      <c r="L25" s="2" t="s">
        <v>78</v>
      </c>
      <c r="M25" s="2" t="s">
        <v>54</v>
      </c>
      <c r="N25" s="2" t="s">
        <v>55</v>
      </c>
      <c r="O25" s="2" t="s">
        <v>56</v>
      </c>
      <c r="P25" s="8">
        <v>5057091450097</v>
      </c>
      <c r="Q25" s="2" t="s">
        <v>57</v>
      </c>
      <c r="R25" s="2" t="s">
        <v>30</v>
      </c>
      <c r="S25" s="4" t="str">
        <f>VLOOKUP(P25,[2]StockItem!$R:$S,2,0)</f>
        <v>XXL</v>
      </c>
      <c r="T25" s="2">
        <v>4</v>
      </c>
      <c r="U25" s="2">
        <v>4</v>
      </c>
      <c r="V25" s="2">
        <v>3.45</v>
      </c>
      <c r="W25" s="2">
        <v>13.8</v>
      </c>
      <c r="X25" s="2" t="s">
        <v>37</v>
      </c>
      <c r="Y25" s="2" t="s">
        <v>38</v>
      </c>
      <c r="Z25" s="2" t="s">
        <v>39</v>
      </c>
      <c r="AA25" s="2">
        <v>25</v>
      </c>
      <c r="AB25" s="2">
        <v>20</v>
      </c>
    </row>
    <row r="26" spans="1:28" s="2" customFormat="1">
      <c r="A26" s="2" t="s">
        <v>26</v>
      </c>
      <c r="B26" s="2" t="s">
        <v>86</v>
      </c>
      <c r="C26" s="2">
        <v>30769</v>
      </c>
      <c r="D26" s="2" t="s">
        <v>27</v>
      </c>
      <c r="E26" s="2" t="s">
        <v>76</v>
      </c>
      <c r="F26" s="2" t="s">
        <v>29</v>
      </c>
      <c r="G26" s="2" t="s">
        <v>30</v>
      </c>
      <c r="H26" s="3">
        <v>44711</v>
      </c>
      <c r="I26" s="3">
        <v>44711</v>
      </c>
      <c r="J26" s="2" t="s">
        <v>53</v>
      </c>
      <c r="K26" s="2" t="s">
        <v>77</v>
      </c>
      <c r="L26" s="2" t="s">
        <v>78</v>
      </c>
      <c r="M26" s="2" t="s">
        <v>54</v>
      </c>
      <c r="N26" s="2" t="s">
        <v>55</v>
      </c>
      <c r="O26" s="2" t="s">
        <v>56</v>
      </c>
      <c r="P26" s="8">
        <v>5057091450103</v>
      </c>
      <c r="Q26" s="2" t="s">
        <v>58</v>
      </c>
      <c r="R26" s="2" t="s">
        <v>30</v>
      </c>
      <c r="S26" s="4" t="str">
        <f>VLOOKUP(P26,[2]StockItem!$R:$S,2,0)</f>
        <v>M</v>
      </c>
      <c r="T26" s="2">
        <v>6</v>
      </c>
      <c r="U26" s="2">
        <v>6</v>
      </c>
      <c r="V26" s="2">
        <v>3.45</v>
      </c>
      <c r="W26" s="2">
        <v>20.7</v>
      </c>
      <c r="X26" s="2" t="s">
        <v>37</v>
      </c>
      <c r="Y26" s="2" t="s">
        <v>38</v>
      </c>
      <c r="Z26" s="2" t="s">
        <v>39</v>
      </c>
      <c r="AA26" s="2">
        <v>25</v>
      </c>
      <c r="AB26" s="2">
        <v>20</v>
      </c>
    </row>
    <row r="27" spans="1:28" s="2" customFormat="1">
      <c r="A27" s="2" t="s">
        <v>26</v>
      </c>
      <c r="B27" s="2" t="s">
        <v>86</v>
      </c>
      <c r="C27" s="2">
        <v>30769</v>
      </c>
      <c r="D27" s="2" t="s">
        <v>27</v>
      </c>
      <c r="E27" s="2" t="s">
        <v>76</v>
      </c>
      <c r="F27" s="2" t="s">
        <v>29</v>
      </c>
      <c r="G27" s="2" t="s">
        <v>30</v>
      </c>
      <c r="H27" s="3">
        <v>44711</v>
      </c>
      <c r="I27" s="3">
        <v>44711</v>
      </c>
      <c r="J27" s="2" t="s">
        <v>53</v>
      </c>
      <c r="K27" s="2" t="s">
        <v>77</v>
      </c>
      <c r="L27" s="2" t="s">
        <v>78</v>
      </c>
      <c r="M27" s="2" t="s">
        <v>54</v>
      </c>
      <c r="N27" s="2" t="s">
        <v>55</v>
      </c>
      <c r="O27" s="2" t="s">
        <v>56</v>
      </c>
      <c r="P27" s="8">
        <v>5057091450110</v>
      </c>
      <c r="Q27" s="2" t="s">
        <v>58</v>
      </c>
      <c r="R27" s="2" t="s">
        <v>30</v>
      </c>
      <c r="S27" s="4" t="str">
        <f>VLOOKUP(P27,[2]StockItem!$R:$S,2,0)</f>
        <v>L</v>
      </c>
      <c r="T27" s="2">
        <v>8</v>
      </c>
      <c r="U27" s="2">
        <v>8</v>
      </c>
      <c r="V27" s="2">
        <v>3.45</v>
      </c>
      <c r="W27" s="2">
        <v>27.6</v>
      </c>
      <c r="X27" s="2" t="s">
        <v>37</v>
      </c>
      <c r="Y27" s="2" t="s">
        <v>38</v>
      </c>
      <c r="Z27" s="2" t="s">
        <v>39</v>
      </c>
      <c r="AA27" s="2">
        <v>25</v>
      </c>
      <c r="AB27" s="2">
        <v>20</v>
      </c>
    </row>
    <row r="28" spans="1:28" s="4" customFormat="1">
      <c r="A28" s="4" t="s">
        <v>26</v>
      </c>
      <c r="B28" s="4" t="s">
        <v>86</v>
      </c>
      <c r="C28" s="4">
        <v>30769</v>
      </c>
      <c r="D28" s="4" t="s">
        <v>27</v>
      </c>
      <c r="E28" s="4" t="s">
        <v>76</v>
      </c>
      <c r="F28" s="4" t="s">
        <v>29</v>
      </c>
      <c r="G28" s="4" t="s">
        <v>30</v>
      </c>
      <c r="H28" s="5">
        <v>44711</v>
      </c>
      <c r="I28" s="5">
        <v>44711</v>
      </c>
      <c r="J28" s="4" t="s">
        <v>31</v>
      </c>
      <c r="K28" s="4" t="s">
        <v>77</v>
      </c>
      <c r="L28" s="4" t="s">
        <v>78</v>
      </c>
      <c r="M28" s="4" t="s">
        <v>79</v>
      </c>
      <c r="N28" s="4" t="s">
        <v>80</v>
      </c>
      <c r="O28" s="4" t="s">
        <v>81</v>
      </c>
      <c r="P28" s="6">
        <v>5057091439665</v>
      </c>
      <c r="Q28" s="4" t="s">
        <v>83</v>
      </c>
      <c r="R28" s="4" t="s">
        <v>158</v>
      </c>
      <c r="S28" s="4" t="e">
        <f>VLOOKUP(P28,[2]StockItem!$R:$S,2,0)</f>
        <v>#N/A</v>
      </c>
      <c r="T28" s="4">
        <v>1</v>
      </c>
      <c r="U28" s="4">
        <v>1</v>
      </c>
      <c r="V28" s="4">
        <v>67.2</v>
      </c>
      <c r="W28" s="4">
        <v>67.2</v>
      </c>
      <c r="X28" s="4" t="s">
        <v>37</v>
      </c>
      <c r="Y28" s="4" t="s">
        <v>38</v>
      </c>
      <c r="Z28" s="4" t="s">
        <v>39</v>
      </c>
      <c r="AA28" s="4">
        <v>35</v>
      </c>
      <c r="AB28" s="4">
        <v>20</v>
      </c>
    </row>
    <row r="29" spans="1:28" s="4" customFormat="1">
      <c r="A29" s="4" t="s">
        <v>26</v>
      </c>
      <c r="B29" s="4" t="s">
        <v>86</v>
      </c>
      <c r="C29" s="4">
        <v>30769</v>
      </c>
      <c r="D29" s="4" t="s">
        <v>27</v>
      </c>
      <c r="E29" s="4" t="s">
        <v>76</v>
      </c>
      <c r="F29" s="4" t="s">
        <v>29</v>
      </c>
      <c r="G29" s="4" t="s">
        <v>30</v>
      </c>
      <c r="H29" s="5">
        <v>44711</v>
      </c>
      <c r="I29" s="5">
        <v>44711</v>
      </c>
      <c r="J29" s="4" t="s">
        <v>31</v>
      </c>
      <c r="K29" s="4" t="s">
        <v>77</v>
      </c>
      <c r="L29" s="4" t="s">
        <v>78</v>
      </c>
      <c r="M29" s="4" t="s">
        <v>79</v>
      </c>
      <c r="N29" s="4" t="s">
        <v>80</v>
      </c>
      <c r="O29" s="4" t="s">
        <v>81</v>
      </c>
      <c r="P29" s="6">
        <v>5057091439672</v>
      </c>
      <c r="Q29" s="4" t="s">
        <v>85</v>
      </c>
      <c r="R29" s="4" t="s">
        <v>158</v>
      </c>
      <c r="S29" s="4" t="e">
        <f>VLOOKUP(P29,[2]StockItem!$R:$S,2,0)</f>
        <v>#N/A</v>
      </c>
      <c r="T29" s="4">
        <v>1</v>
      </c>
      <c r="U29" s="4">
        <v>1</v>
      </c>
      <c r="V29" s="4">
        <v>67.2</v>
      </c>
      <c r="W29" s="4">
        <v>67.2</v>
      </c>
      <c r="X29" s="4" t="s">
        <v>37</v>
      </c>
      <c r="Y29" s="4" t="s">
        <v>38</v>
      </c>
      <c r="Z29" s="4" t="s">
        <v>39</v>
      </c>
      <c r="AA29" s="4">
        <v>35</v>
      </c>
      <c r="AB29" s="4">
        <v>20</v>
      </c>
    </row>
    <row r="30" spans="1:28" s="4" customFormat="1">
      <c r="A30" s="4" t="s">
        <v>26</v>
      </c>
      <c r="B30" s="4" t="s">
        <v>114</v>
      </c>
      <c r="C30" s="4">
        <v>30767</v>
      </c>
      <c r="D30" s="4" t="s">
        <v>27</v>
      </c>
      <c r="E30" s="4" t="s">
        <v>87</v>
      </c>
      <c r="F30" s="4" t="s">
        <v>29</v>
      </c>
      <c r="G30" s="4" t="s">
        <v>30</v>
      </c>
      <c r="H30" s="5">
        <v>44708</v>
      </c>
      <c r="I30" s="5">
        <v>44708</v>
      </c>
      <c r="J30" s="4" t="s">
        <v>30</v>
      </c>
      <c r="K30" s="4" t="s">
        <v>88</v>
      </c>
      <c r="L30" s="4" t="s">
        <v>89</v>
      </c>
      <c r="M30" s="4" t="s">
        <v>30</v>
      </c>
      <c r="N30" s="4" t="s">
        <v>90</v>
      </c>
      <c r="O30" s="4" t="s">
        <v>155</v>
      </c>
      <c r="P30" s="6">
        <v>5057091435339</v>
      </c>
      <c r="Q30" s="4" t="s">
        <v>96</v>
      </c>
      <c r="R30" s="4" t="s">
        <v>159</v>
      </c>
      <c r="S30" s="4" t="e">
        <f>VLOOKUP(P30,[2]StockItem!$R:$S,2,0)</f>
        <v>#N/A</v>
      </c>
      <c r="T30" s="4">
        <v>1</v>
      </c>
      <c r="U30" s="4">
        <v>1</v>
      </c>
      <c r="V30" s="4">
        <v>17</v>
      </c>
      <c r="W30" s="4">
        <v>17</v>
      </c>
      <c r="X30" s="4" t="s">
        <v>37</v>
      </c>
      <c r="Y30" s="4" t="s">
        <v>38</v>
      </c>
      <c r="Z30" s="4" t="s">
        <v>39</v>
      </c>
      <c r="AA30" s="4">
        <v>9.99</v>
      </c>
      <c r="AB30" s="4">
        <v>6.99</v>
      </c>
    </row>
    <row r="31" spans="1:28" s="2" customFormat="1">
      <c r="A31" s="2" t="s">
        <v>26</v>
      </c>
      <c r="B31" s="2" t="s">
        <v>114</v>
      </c>
      <c r="C31" s="2">
        <v>30767</v>
      </c>
      <c r="D31" s="2" t="s">
        <v>27</v>
      </c>
      <c r="E31" s="2" t="s">
        <v>87</v>
      </c>
      <c r="F31" s="2" t="s">
        <v>29</v>
      </c>
      <c r="G31" s="2" t="s">
        <v>30</v>
      </c>
      <c r="H31" s="3">
        <v>44708</v>
      </c>
      <c r="I31" s="3">
        <v>44708</v>
      </c>
      <c r="J31" s="2" t="s">
        <v>31</v>
      </c>
      <c r="K31" s="2" t="s">
        <v>88</v>
      </c>
      <c r="L31" s="2" t="s">
        <v>89</v>
      </c>
      <c r="M31" s="2" t="s">
        <v>34</v>
      </c>
      <c r="N31" s="2" t="s">
        <v>35</v>
      </c>
      <c r="O31" s="2" t="s">
        <v>36</v>
      </c>
      <c r="P31" s="8">
        <v>5057949126358</v>
      </c>
      <c r="Q31" s="2" t="s">
        <v>30</v>
      </c>
      <c r="R31" s="2" t="s">
        <v>30</v>
      </c>
      <c r="S31" s="4" t="e">
        <f>VLOOKUP(P31,[2]StockItem!$R:$S,2,0)</f>
        <v>#N/A</v>
      </c>
      <c r="T31" s="2">
        <v>2</v>
      </c>
      <c r="U31" s="2">
        <v>2</v>
      </c>
      <c r="V31" s="2">
        <v>54.54</v>
      </c>
      <c r="W31" s="2">
        <v>109.08</v>
      </c>
      <c r="X31" s="2" t="s">
        <v>37</v>
      </c>
      <c r="Y31" s="2" t="s">
        <v>38</v>
      </c>
      <c r="Z31" s="2" t="s">
        <v>39</v>
      </c>
      <c r="AA31" s="2">
        <v>30</v>
      </c>
      <c r="AB31" s="2">
        <v>20</v>
      </c>
    </row>
    <row r="32" spans="1:28" s="2" customFormat="1">
      <c r="A32" s="2" t="s">
        <v>26</v>
      </c>
      <c r="B32" s="2" t="s">
        <v>114</v>
      </c>
      <c r="C32" s="2">
        <v>30767</v>
      </c>
      <c r="D32" s="2" t="s">
        <v>27</v>
      </c>
      <c r="E32" s="2" t="s">
        <v>87</v>
      </c>
      <c r="F32" s="2" t="s">
        <v>29</v>
      </c>
      <c r="G32" s="2" t="s">
        <v>30</v>
      </c>
      <c r="H32" s="3">
        <v>44708</v>
      </c>
      <c r="I32" s="3">
        <v>44708</v>
      </c>
      <c r="J32" s="2" t="s">
        <v>31</v>
      </c>
      <c r="K32" s="2" t="s">
        <v>88</v>
      </c>
      <c r="L32" s="2" t="s">
        <v>89</v>
      </c>
      <c r="M32" s="2" t="s">
        <v>34</v>
      </c>
      <c r="N32" s="2" t="s">
        <v>40</v>
      </c>
      <c r="O32" s="2" t="s">
        <v>41</v>
      </c>
      <c r="P32" s="8">
        <v>5057949126365</v>
      </c>
      <c r="Q32" s="2" t="s">
        <v>30</v>
      </c>
      <c r="R32" s="2" t="s">
        <v>30</v>
      </c>
      <c r="S32" s="4" t="e">
        <f>VLOOKUP(P32,[2]StockItem!$R:$S,2,0)</f>
        <v>#N/A</v>
      </c>
      <c r="T32" s="2">
        <v>3</v>
      </c>
      <c r="U32" s="2">
        <v>3</v>
      </c>
      <c r="V32" s="2">
        <v>54.54</v>
      </c>
      <c r="W32" s="2">
        <v>163.62</v>
      </c>
      <c r="X32" s="2" t="s">
        <v>37</v>
      </c>
      <c r="Y32" s="2" t="s">
        <v>38</v>
      </c>
      <c r="Z32" s="2" t="s">
        <v>39</v>
      </c>
      <c r="AA32" s="2">
        <v>30</v>
      </c>
      <c r="AB32" s="2">
        <v>20</v>
      </c>
    </row>
    <row r="33" spans="1:28" s="2" customFormat="1">
      <c r="A33" s="2" t="s">
        <v>26</v>
      </c>
      <c r="B33" s="2" t="s">
        <v>114</v>
      </c>
      <c r="C33" s="2">
        <v>30767</v>
      </c>
      <c r="D33" s="2" t="s">
        <v>27</v>
      </c>
      <c r="E33" s="2" t="s">
        <v>87</v>
      </c>
      <c r="F33" s="2" t="s">
        <v>29</v>
      </c>
      <c r="G33" s="2" t="s">
        <v>30</v>
      </c>
      <c r="H33" s="3">
        <v>44708</v>
      </c>
      <c r="I33" s="3">
        <v>44708</v>
      </c>
      <c r="J33" s="2" t="s">
        <v>31</v>
      </c>
      <c r="K33" s="2" t="s">
        <v>88</v>
      </c>
      <c r="L33" s="2" t="s">
        <v>89</v>
      </c>
      <c r="M33" s="2" t="s">
        <v>34</v>
      </c>
      <c r="N33" s="2" t="s">
        <v>42</v>
      </c>
      <c r="O33" s="2" t="s">
        <v>43</v>
      </c>
      <c r="P33" s="8">
        <v>5057949126372</v>
      </c>
      <c r="Q33" s="2" t="s">
        <v>30</v>
      </c>
      <c r="R33" s="2" t="s">
        <v>30</v>
      </c>
      <c r="S33" s="4" t="e">
        <f>VLOOKUP(P33,[2]StockItem!$R:$S,2,0)</f>
        <v>#N/A</v>
      </c>
      <c r="T33" s="2">
        <v>4</v>
      </c>
      <c r="U33" s="2">
        <v>4</v>
      </c>
      <c r="V33" s="2">
        <v>54.54</v>
      </c>
      <c r="W33" s="2">
        <v>218.16</v>
      </c>
      <c r="X33" s="2" t="s">
        <v>37</v>
      </c>
      <c r="Y33" s="2" t="s">
        <v>38</v>
      </c>
      <c r="Z33" s="2" t="s">
        <v>39</v>
      </c>
      <c r="AA33" s="2">
        <v>30</v>
      </c>
      <c r="AB33" s="2">
        <v>20</v>
      </c>
    </row>
    <row r="34" spans="1:28" s="2" customFormat="1">
      <c r="A34" s="2" t="s">
        <v>26</v>
      </c>
      <c r="B34" s="2" t="s">
        <v>114</v>
      </c>
      <c r="C34" s="2">
        <v>30767</v>
      </c>
      <c r="D34" s="2" t="s">
        <v>27</v>
      </c>
      <c r="E34" s="2" t="s">
        <v>87</v>
      </c>
      <c r="F34" s="2" t="s">
        <v>29</v>
      </c>
      <c r="G34" s="2" t="s">
        <v>30</v>
      </c>
      <c r="H34" s="3">
        <v>44708</v>
      </c>
      <c r="I34" s="3">
        <v>44708</v>
      </c>
      <c r="J34" s="2" t="s">
        <v>31</v>
      </c>
      <c r="K34" s="2" t="s">
        <v>88</v>
      </c>
      <c r="L34" s="2" t="s">
        <v>89</v>
      </c>
      <c r="M34" s="2" t="s">
        <v>34</v>
      </c>
      <c r="N34" s="2" t="s">
        <v>44</v>
      </c>
      <c r="O34" s="2" t="s">
        <v>45</v>
      </c>
      <c r="P34" s="8">
        <v>5057949126402</v>
      </c>
      <c r="Q34" s="2" t="s">
        <v>30</v>
      </c>
      <c r="R34" s="2" t="s">
        <v>30</v>
      </c>
      <c r="S34" s="4" t="e">
        <f>VLOOKUP(P34,[2]StockItem!$R:$S,2,0)</f>
        <v>#N/A</v>
      </c>
      <c r="T34" s="2">
        <v>5</v>
      </c>
      <c r="U34" s="2">
        <v>5</v>
      </c>
      <c r="V34" s="2">
        <v>54.54</v>
      </c>
      <c r="W34" s="2">
        <v>272.7</v>
      </c>
      <c r="X34" s="2" t="s">
        <v>37</v>
      </c>
      <c r="Y34" s="2" t="s">
        <v>38</v>
      </c>
      <c r="Z34" s="2" t="s">
        <v>39</v>
      </c>
      <c r="AA34" s="2">
        <v>30</v>
      </c>
      <c r="AB34" s="2">
        <v>20</v>
      </c>
    </row>
    <row r="35" spans="1:28" s="2" customFormat="1">
      <c r="A35" s="2" t="s">
        <v>26</v>
      </c>
      <c r="B35" s="2" t="s">
        <v>114</v>
      </c>
      <c r="C35" s="2">
        <v>30767</v>
      </c>
      <c r="D35" s="2" t="s">
        <v>27</v>
      </c>
      <c r="E35" s="2" t="s">
        <v>87</v>
      </c>
      <c r="F35" s="2" t="s">
        <v>29</v>
      </c>
      <c r="G35" s="2" t="s">
        <v>30</v>
      </c>
      <c r="H35" s="3">
        <v>44708</v>
      </c>
      <c r="I35" s="3">
        <v>44708</v>
      </c>
      <c r="J35" s="2" t="s">
        <v>31</v>
      </c>
      <c r="K35" s="2" t="s">
        <v>88</v>
      </c>
      <c r="L35" s="2" t="s">
        <v>89</v>
      </c>
      <c r="M35" s="2" t="s">
        <v>34</v>
      </c>
      <c r="N35" s="2" t="s">
        <v>46</v>
      </c>
      <c r="O35" s="2" t="s">
        <v>47</v>
      </c>
      <c r="P35" s="8">
        <v>5057949126419</v>
      </c>
      <c r="Q35" s="2" t="s">
        <v>30</v>
      </c>
      <c r="R35" s="2" t="s">
        <v>30</v>
      </c>
      <c r="S35" s="4" t="e">
        <f>VLOOKUP(P35,[2]StockItem!$R:$S,2,0)</f>
        <v>#N/A</v>
      </c>
      <c r="T35" s="2">
        <v>6</v>
      </c>
      <c r="U35" s="2">
        <v>6</v>
      </c>
      <c r="V35" s="2">
        <v>54.54</v>
      </c>
      <c r="W35" s="2">
        <v>327.24</v>
      </c>
      <c r="X35" s="2" t="s">
        <v>37</v>
      </c>
      <c r="Y35" s="2" t="s">
        <v>38</v>
      </c>
      <c r="Z35" s="2" t="s">
        <v>39</v>
      </c>
      <c r="AA35" s="2">
        <v>30</v>
      </c>
      <c r="AB35" s="2">
        <v>20</v>
      </c>
    </row>
    <row r="36" spans="1:28" s="4" customFormat="1">
      <c r="A36" s="4" t="s">
        <v>26</v>
      </c>
      <c r="B36" s="4" t="s">
        <v>114</v>
      </c>
      <c r="C36" s="4">
        <v>30767</v>
      </c>
      <c r="D36" s="4" t="s">
        <v>27</v>
      </c>
      <c r="E36" s="4" t="s">
        <v>87</v>
      </c>
      <c r="F36" s="4" t="s">
        <v>29</v>
      </c>
      <c r="G36" s="4" t="s">
        <v>30</v>
      </c>
      <c r="H36" s="5">
        <v>44708</v>
      </c>
      <c r="I36" s="5">
        <v>44708</v>
      </c>
      <c r="J36" s="4" t="s">
        <v>31</v>
      </c>
      <c r="K36" s="4" t="s">
        <v>88</v>
      </c>
      <c r="L36" s="4" t="s">
        <v>89</v>
      </c>
      <c r="M36" s="4" t="s">
        <v>48</v>
      </c>
      <c r="N36" s="4" t="s">
        <v>92</v>
      </c>
      <c r="O36" s="4" t="s">
        <v>93</v>
      </c>
      <c r="P36" s="6">
        <v>5057949222425</v>
      </c>
      <c r="Q36" s="4" t="s">
        <v>95</v>
      </c>
      <c r="R36" s="4" t="s">
        <v>160</v>
      </c>
      <c r="S36" s="4" t="e">
        <f>VLOOKUP(P36,[2]StockItem!$R:$S,2,0)</f>
        <v>#N/A</v>
      </c>
      <c r="T36" s="4">
        <v>1</v>
      </c>
      <c r="U36" s="4">
        <v>1</v>
      </c>
      <c r="V36" s="4">
        <v>54</v>
      </c>
      <c r="W36" s="4">
        <v>54</v>
      </c>
      <c r="X36" s="4" t="s">
        <v>37</v>
      </c>
      <c r="Y36" s="4" t="s">
        <v>38</v>
      </c>
      <c r="Z36" s="4" t="s">
        <v>39</v>
      </c>
      <c r="AA36" s="4">
        <v>30</v>
      </c>
      <c r="AB36" s="4">
        <v>20</v>
      </c>
    </row>
    <row r="37" spans="1:28" s="2" customFormat="1">
      <c r="A37" s="2" t="s">
        <v>26</v>
      </c>
      <c r="B37" s="2" t="s">
        <v>114</v>
      </c>
      <c r="C37" s="2">
        <v>30767</v>
      </c>
      <c r="D37" s="2" t="s">
        <v>27</v>
      </c>
      <c r="E37" s="2" t="s">
        <v>87</v>
      </c>
      <c r="F37" s="2" t="s">
        <v>29</v>
      </c>
      <c r="G37" s="2" t="s">
        <v>30</v>
      </c>
      <c r="H37" s="3">
        <v>44708</v>
      </c>
      <c r="I37" s="3">
        <v>44708</v>
      </c>
      <c r="J37" s="2" t="s">
        <v>53</v>
      </c>
      <c r="K37" s="2" t="s">
        <v>88</v>
      </c>
      <c r="L37" s="2" t="s">
        <v>89</v>
      </c>
      <c r="M37" s="2" t="s">
        <v>54</v>
      </c>
      <c r="N37" s="2" t="s">
        <v>55</v>
      </c>
      <c r="O37" s="2" t="s">
        <v>56</v>
      </c>
      <c r="P37" s="8">
        <v>5057091450158</v>
      </c>
      <c r="Q37" s="2" t="s">
        <v>96</v>
      </c>
      <c r="R37" s="2" t="s">
        <v>30</v>
      </c>
      <c r="S37" s="4" t="str">
        <f>VLOOKUP(P37,[2]StockItem!$R:$S,2,0)</f>
        <v>L</v>
      </c>
      <c r="T37" s="2">
        <v>4</v>
      </c>
      <c r="U37" s="2">
        <v>4</v>
      </c>
      <c r="V37" s="2">
        <v>3.45</v>
      </c>
      <c r="W37" s="2">
        <v>13.8</v>
      </c>
      <c r="X37" s="2" t="s">
        <v>37</v>
      </c>
      <c r="Y37" s="2" t="s">
        <v>38</v>
      </c>
      <c r="Z37" s="2" t="s">
        <v>39</v>
      </c>
      <c r="AA37" s="2">
        <v>25</v>
      </c>
      <c r="AB37" s="2">
        <v>20</v>
      </c>
    </row>
    <row r="38" spans="1:28" s="2" customFormat="1">
      <c r="A38" s="2" t="s">
        <v>26</v>
      </c>
      <c r="B38" s="2" t="s">
        <v>114</v>
      </c>
      <c r="C38" s="2">
        <v>30767</v>
      </c>
      <c r="D38" s="2" t="s">
        <v>27</v>
      </c>
      <c r="E38" s="2" t="s">
        <v>87</v>
      </c>
      <c r="F38" s="2" t="s">
        <v>29</v>
      </c>
      <c r="G38" s="2" t="s">
        <v>30</v>
      </c>
      <c r="H38" s="3">
        <v>44708</v>
      </c>
      <c r="I38" s="3">
        <v>44708</v>
      </c>
      <c r="J38" s="2" t="s">
        <v>53</v>
      </c>
      <c r="K38" s="2" t="s">
        <v>88</v>
      </c>
      <c r="L38" s="2" t="s">
        <v>89</v>
      </c>
      <c r="M38" s="2" t="s">
        <v>54</v>
      </c>
      <c r="N38" s="2" t="s">
        <v>55</v>
      </c>
      <c r="O38" s="2" t="s">
        <v>56</v>
      </c>
      <c r="P38" s="8">
        <v>5057091450165</v>
      </c>
      <c r="Q38" s="2" t="s">
        <v>96</v>
      </c>
      <c r="R38" s="2" t="s">
        <v>30</v>
      </c>
      <c r="S38" s="4" t="str">
        <f>VLOOKUP(P38,[2]StockItem!$R:$S,2,0)</f>
        <v>XL</v>
      </c>
      <c r="T38" s="2">
        <v>1</v>
      </c>
      <c r="U38" s="2">
        <v>1</v>
      </c>
      <c r="V38" s="2">
        <v>3.45</v>
      </c>
      <c r="W38" s="2">
        <v>3.45</v>
      </c>
      <c r="X38" s="2" t="s">
        <v>37</v>
      </c>
      <c r="Y38" s="2" t="s">
        <v>38</v>
      </c>
      <c r="Z38" s="2" t="s">
        <v>39</v>
      </c>
      <c r="AA38" s="2">
        <v>25</v>
      </c>
      <c r="AB38" s="2">
        <v>20</v>
      </c>
    </row>
    <row r="39" spans="1:28" s="2" customFormat="1">
      <c r="A39" s="2" t="s">
        <v>26</v>
      </c>
      <c r="B39" s="2" t="s">
        <v>114</v>
      </c>
      <c r="C39" s="2">
        <v>30767</v>
      </c>
      <c r="D39" s="2" t="s">
        <v>27</v>
      </c>
      <c r="E39" s="2" t="s">
        <v>87</v>
      </c>
      <c r="F39" s="2" t="s">
        <v>29</v>
      </c>
      <c r="G39" s="2" t="s">
        <v>30</v>
      </c>
      <c r="H39" s="3">
        <v>44708</v>
      </c>
      <c r="I39" s="3">
        <v>44708</v>
      </c>
      <c r="J39" s="2" t="s">
        <v>53</v>
      </c>
      <c r="K39" s="2" t="s">
        <v>88</v>
      </c>
      <c r="L39" s="2" t="s">
        <v>89</v>
      </c>
      <c r="M39" s="2" t="s">
        <v>54</v>
      </c>
      <c r="N39" s="2" t="s">
        <v>55</v>
      </c>
      <c r="O39" s="2" t="s">
        <v>56</v>
      </c>
      <c r="P39" s="8">
        <v>5057091450172</v>
      </c>
      <c r="Q39" s="2" t="s">
        <v>96</v>
      </c>
      <c r="R39" s="2" t="s">
        <v>30</v>
      </c>
      <c r="S39" s="4" t="str">
        <f>VLOOKUP(P39,[2]StockItem!$R:$S,2,0)</f>
        <v>XXL</v>
      </c>
      <c r="T39" s="2">
        <v>2</v>
      </c>
      <c r="U39" s="2">
        <v>2</v>
      </c>
      <c r="V39" s="2">
        <v>3.45</v>
      </c>
      <c r="W39" s="2">
        <v>6.9</v>
      </c>
      <c r="X39" s="2" t="s">
        <v>37</v>
      </c>
      <c r="Y39" s="2" t="s">
        <v>38</v>
      </c>
      <c r="Z39" s="2" t="s">
        <v>39</v>
      </c>
      <c r="AA39" s="2">
        <v>25</v>
      </c>
      <c r="AB39" s="2">
        <v>20</v>
      </c>
    </row>
    <row r="40" spans="1:28" s="2" customFormat="1">
      <c r="A40" s="2" t="s">
        <v>26</v>
      </c>
      <c r="B40" s="2" t="s">
        <v>114</v>
      </c>
      <c r="C40" s="2">
        <v>30767</v>
      </c>
      <c r="D40" s="2" t="s">
        <v>27</v>
      </c>
      <c r="E40" s="2" t="s">
        <v>87</v>
      </c>
      <c r="F40" s="2" t="s">
        <v>29</v>
      </c>
      <c r="G40" s="2" t="s">
        <v>30</v>
      </c>
      <c r="H40" s="3">
        <v>44708</v>
      </c>
      <c r="I40" s="3">
        <v>44708</v>
      </c>
      <c r="J40" s="2" t="s">
        <v>53</v>
      </c>
      <c r="K40" s="2" t="s">
        <v>88</v>
      </c>
      <c r="L40" s="2" t="s">
        <v>89</v>
      </c>
      <c r="M40" s="2" t="s">
        <v>54</v>
      </c>
      <c r="N40" s="2" t="s">
        <v>55</v>
      </c>
      <c r="O40" s="2" t="s">
        <v>56</v>
      </c>
      <c r="P40" s="8">
        <v>5057091450066</v>
      </c>
      <c r="Q40" s="2" t="s">
        <v>57</v>
      </c>
      <c r="R40" s="2" t="s">
        <v>30</v>
      </c>
      <c r="S40" s="4" t="str">
        <f>VLOOKUP(P40,[2]StockItem!$R:$S,2,0)</f>
        <v>M</v>
      </c>
      <c r="T40" s="2">
        <v>10</v>
      </c>
      <c r="U40" s="2">
        <v>10</v>
      </c>
      <c r="V40" s="2">
        <v>3.45</v>
      </c>
      <c r="W40" s="2">
        <v>34.5</v>
      </c>
      <c r="X40" s="2" t="s">
        <v>37</v>
      </c>
      <c r="Y40" s="2" t="s">
        <v>38</v>
      </c>
      <c r="Z40" s="2" t="s">
        <v>39</v>
      </c>
      <c r="AA40" s="2">
        <v>25</v>
      </c>
      <c r="AB40" s="2">
        <v>20</v>
      </c>
    </row>
    <row r="41" spans="1:28" s="2" customFormat="1">
      <c r="A41" s="2" t="s">
        <v>26</v>
      </c>
      <c r="B41" s="2" t="s">
        <v>114</v>
      </c>
      <c r="C41" s="2">
        <v>30767</v>
      </c>
      <c r="D41" s="2" t="s">
        <v>27</v>
      </c>
      <c r="E41" s="2" t="s">
        <v>87</v>
      </c>
      <c r="F41" s="2" t="s">
        <v>29</v>
      </c>
      <c r="G41" s="2" t="s">
        <v>30</v>
      </c>
      <c r="H41" s="3">
        <v>44708</v>
      </c>
      <c r="I41" s="3">
        <v>44708</v>
      </c>
      <c r="J41" s="2" t="s">
        <v>53</v>
      </c>
      <c r="K41" s="2" t="s">
        <v>88</v>
      </c>
      <c r="L41" s="2" t="s">
        <v>89</v>
      </c>
      <c r="M41" s="2" t="s">
        <v>54</v>
      </c>
      <c r="N41" s="2" t="s">
        <v>55</v>
      </c>
      <c r="O41" s="2" t="s">
        <v>56</v>
      </c>
      <c r="P41" s="8">
        <v>5057091450073</v>
      </c>
      <c r="Q41" s="2" t="s">
        <v>57</v>
      </c>
      <c r="R41" s="2" t="s">
        <v>30</v>
      </c>
      <c r="S41" s="4" t="str">
        <f>VLOOKUP(P41,[2]StockItem!$R:$S,2,0)</f>
        <v>L</v>
      </c>
      <c r="T41" s="2">
        <v>11</v>
      </c>
      <c r="U41" s="2">
        <v>11</v>
      </c>
      <c r="V41" s="2">
        <v>3.45</v>
      </c>
      <c r="W41" s="2">
        <v>37.950000000000003</v>
      </c>
      <c r="X41" s="2" t="s">
        <v>37</v>
      </c>
      <c r="Y41" s="2" t="s">
        <v>38</v>
      </c>
      <c r="Z41" s="2" t="s">
        <v>39</v>
      </c>
      <c r="AA41" s="2">
        <v>25</v>
      </c>
      <c r="AB41" s="2">
        <v>20</v>
      </c>
    </row>
    <row r="42" spans="1:28" s="2" customFormat="1">
      <c r="A42" s="2" t="s">
        <v>26</v>
      </c>
      <c r="B42" s="2" t="s">
        <v>114</v>
      </c>
      <c r="C42" s="2">
        <v>30767</v>
      </c>
      <c r="D42" s="2" t="s">
        <v>27</v>
      </c>
      <c r="E42" s="2" t="s">
        <v>87</v>
      </c>
      <c r="F42" s="2" t="s">
        <v>29</v>
      </c>
      <c r="G42" s="2" t="s">
        <v>30</v>
      </c>
      <c r="H42" s="3">
        <v>44708</v>
      </c>
      <c r="I42" s="3">
        <v>44708</v>
      </c>
      <c r="J42" s="2" t="s">
        <v>53</v>
      </c>
      <c r="K42" s="2" t="s">
        <v>88</v>
      </c>
      <c r="L42" s="2" t="s">
        <v>89</v>
      </c>
      <c r="M42" s="2" t="s">
        <v>54</v>
      </c>
      <c r="N42" s="2" t="s">
        <v>55</v>
      </c>
      <c r="O42" s="2" t="s">
        <v>56</v>
      </c>
      <c r="P42" s="8">
        <v>5057091450080</v>
      </c>
      <c r="Q42" s="2" t="s">
        <v>57</v>
      </c>
      <c r="R42" s="2" t="s">
        <v>30</v>
      </c>
      <c r="S42" s="4" t="str">
        <f>VLOOKUP(P42,[2]StockItem!$R:$S,2,0)</f>
        <v>XL</v>
      </c>
      <c r="T42" s="2">
        <v>14</v>
      </c>
      <c r="U42" s="2">
        <v>14</v>
      </c>
      <c r="V42" s="2">
        <v>3.45</v>
      </c>
      <c r="W42" s="2">
        <v>48.3</v>
      </c>
      <c r="X42" s="2" t="s">
        <v>37</v>
      </c>
      <c r="Y42" s="2" t="s">
        <v>38</v>
      </c>
      <c r="Z42" s="2" t="s">
        <v>39</v>
      </c>
      <c r="AA42" s="2">
        <v>25</v>
      </c>
      <c r="AB42" s="2">
        <v>20</v>
      </c>
    </row>
    <row r="43" spans="1:28" s="2" customFormat="1">
      <c r="A43" s="2" t="s">
        <v>26</v>
      </c>
      <c r="B43" s="2" t="s">
        <v>114</v>
      </c>
      <c r="C43" s="2">
        <v>30767</v>
      </c>
      <c r="D43" s="2" t="s">
        <v>27</v>
      </c>
      <c r="E43" s="2" t="s">
        <v>87</v>
      </c>
      <c r="F43" s="2" t="s">
        <v>29</v>
      </c>
      <c r="G43" s="2" t="s">
        <v>30</v>
      </c>
      <c r="H43" s="3">
        <v>44708</v>
      </c>
      <c r="I43" s="3">
        <v>44708</v>
      </c>
      <c r="J43" s="2" t="s">
        <v>53</v>
      </c>
      <c r="K43" s="2" t="s">
        <v>88</v>
      </c>
      <c r="L43" s="2" t="s">
        <v>89</v>
      </c>
      <c r="M43" s="2" t="s">
        <v>54</v>
      </c>
      <c r="N43" s="2" t="s">
        <v>55</v>
      </c>
      <c r="O43" s="2" t="s">
        <v>56</v>
      </c>
      <c r="P43" s="8">
        <v>5057091450097</v>
      </c>
      <c r="Q43" s="2" t="s">
        <v>57</v>
      </c>
      <c r="R43" s="2" t="s">
        <v>30</v>
      </c>
      <c r="S43" s="4" t="str">
        <f>VLOOKUP(P43,[2]StockItem!$R:$S,2,0)</f>
        <v>XXL</v>
      </c>
      <c r="T43" s="2">
        <v>5</v>
      </c>
      <c r="U43" s="2">
        <v>5</v>
      </c>
      <c r="V43" s="2">
        <v>3.45</v>
      </c>
      <c r="W43" s="2">
        <v>17.25</v>
      </c>
      <c r="X43" s="2" t="s">
        <v>37</v>
      </c>
      <c r="Y43" s="2" t="s">
        <v>38</v>
      </c>
      <c r="Z43" s="2" t="s">
        <v>39</v>
      </c>
      <c r="AA43" s="2">
        <v>25</v>
      </c>
      <c r="AB43" s="2">
        <v>20</v>
      </c>
    </row>
    <row r="44" spans="1:28" s="2" customFormat="1">
      <c r="A44" s="2" t="s">
        <v>26</v>
      </c>
      <c r="B44" s="2" t="s">
        <v>114</v>
      </c>
      <c r="C44" s="2">
        <v>30767</v>
      </c>
      <c r="D44" s="2" t="s">
        <v>27</v>
      </c>
      <c r="E44" s="2" t="s">
        <v>87</v>
      </c>
      <c r="F44" s="2" t="s">
        <v>29</v>
      </c>
      <c r="G44" s="2" t="s">
        <v>30</v>
      </c>
      <c r="H44" s="3">
        <v>44708</v>
      </c>
      <c r="I44" s="3">
        <v>44708</v>
      </c>
      <c r="J44" s="2" t="s">
        <v>53</v>
      </c>
      <c r="K44" s="2" t="s">
        <v>88</v>
      </c>
      <c r="L44" s="2" t="s">
        <v>89</v>
      </c>
      <c r="M44" s="2" t="s">
        <v>54</v>
      </c>
      <c r="N44" s="2" t="s">
        <v>55</v>
      </c>
      <c r="O44" s="2" t="s">
        <v>56</v>
      </c>
      <c r="P44" s="8">
        <v>5057091450103</v>
      </c>
      <c r="Q44" s="2" t="s">
        <v>58</v>
      </c>
      <c r="R44" s="2" t="s">
        <v>30</v>
      </c>
      <c r="S44" s="4" t="str">
        <f>VLOOKUP(P44,[2]StockItem!$R:$S,2,0)</f>
        <v>M</v>
      </c>
      <c r="T44" s="2">
        <v>6</v>
      </c>
      <c r="U44" s="2">
        <v>6</v>
      </c>
      <c r="V44" s="2">
        <v>3.45</v>
      </c>
      <c r="W44" s="2">
        <v>20.7</v>
      </c>
      <c r="X44" s="2" t="s">
        <v>37</v>
      </c>
      <c r="Y44" s="2" t="s">
        <v>38</v>
      </c>
      <c r="Z44" s="2" t="s">
        <v>39</v>
      </c>
      <c r="AA44" s="2">
        <v>25</v>
      </c>
      <c r="AB44" s="2">
        <v>20</v>
      </c>
    </row>
    <row r="45" spans="1:28" s="2" customFormat="1">
      <c r="A45" s="2" t="s">
        <v>26</v>
      </c>
      <c r="B45" s="2" t="s">
        <v>114</v>
      </c>
      <c r="C45" s="2">
        <v>30767</v>
      </c>
      <c r="D45" s="2" t="s">
        <v>27</v>
      </c>
      <c r="E45" s="2" t="s">
        <v>87</v>
      </c>
      <c r="F45" s="2" t="s">
        <v>29</v>
      </c>
      <c r="G45" s="2" t="s">
        <v>30</v>
      </c>
      <c r="H45" s="3">
        <v>44708</v>
      </c>
      <c r="I45" s="3">
        <v>44708</v>
      </c>
      <c r="J45" s="2" t="s">
        <v>53</v>
      </c>
      <c r="K45" s="2" t="s">
        <v>88</v>
      </c>
      <c r="L45" s="2" t="s">
        <v>89</v>
      </c>
      <c r="M45" s="2" t="s">
        <v>54</v>
      </c>
      <c r="N45" s="2" t="s">
        <v>55</v>
      </c>
      <c r="O45" s="2" t="s">
        <v>56</v>
      </c>
      <c r="P45" s="8">
        <v>5057091450110</v>
      </c>
      <c r="Q45" s="2" t="s">
        <v>58</v>
      </c>
      <c r="R45" s="2" t="s">
        <v>30</v>
      </c>
      <c r="S45" s="4" t="str">
        <f>VLOOKUP(P45,[2]StockItem!$R:$S,2,0)</f>
        <v>L</v>
      </c>
      <c r="T45" s="2">
        <v>8</v>
      </c>
      <c r="U45" s="2">
        <v>8</v>
      </c>
      <c r="V45" s="2">
        <v>3.45</v>
      </c>
      <c r="W45" s="2">
        <v>27.6</v>
      </c>
      <c r="X45" s="2" t="s">
        <v>37</v>
      </c>
      <c r="Y45" s="2" t="s">
        <v>38</v>
      </c>
      <c r="Z45" s="2" t="s">
        <v>39</v>
      </c>
      <c r="AA45" s="2">
        <v>25</v>
      </c>
      <c r="AB45" s="2">
        <v>20</v>
      </c>
    </row>
    <row r="46" spans="1:28" s="2" customFormat="1">
      <c r="A46" s="2" t="s">
        <v>26</v>
      </c>
      <c r="B46" s="2" t="s">
        <v>114</v>
      </c>
      <c r="C46" s="2">
        <v>30767</v>
      </c>
      <c r="D46" s="2" t="s">
        <v>27</v>
      </c>
      <c r="E46" s="2" t="s">
        <v>87</v>
      </c>
      <c r="F46" s="2" t="s">
        <v>29</v>
      </c>
      <c r="G46" s="2" t="s">
        <v>30</v>
      </c>
      <c r="H46" s="3">
        <v>44708</v>
      </c>
      <c r="I46" s="3">
        <v>44708</v>
      </c>
      <c r="J46" s="2" t="s">
        <v>53</v>
      </c>
      <c r="K46" s="2" t="s">
        <v>88</v>
      </c>
      <c r="L46" s="2" t="s">
        <v>89</v>
      </c>
      <c r="M46" s="2" t="s">
        <v>54</v>
      </c>
      <c r="N46" s="2" t="s">
        <v>55</v>
      </c>
      <c r="O46" s="2" t="s">
        <v>56</v>
      </c>
      <c r="P46" s="8">
        <v>5057091450141</v>
      </c>
      <c r="Q46" s="2" t="s">
        <v>96</v>
      </c>
      <c r="R46" s="2" t="s">
        <v>30</v>
      </c>
      <c r="S46" s="4" t="str">
        <f>VLOOKUP(P46,[2]StockItem!$R:$S,2,0)</f>
        <v>M</v>
      </c>
      <c r="T46" s="2">
        <v>4</v>
      </c>
      <c r="U46" s="2">
        <v>4</v>
      </c>
      <c r="V46" s="2">
        <v>3.45</v>
      </c>
      <c r="W46" s="2">
        <v>13.8</v>
      </c>
      <c r="X46" s="2" t="s">
        <v>37</v>
      </c>
      <c r="Y46" s="2" t="s">
        <v>38</v>
      </c>
      <c r="Z46" s="2" t="s">
        <v>39</v>
      </c>
      <c r="AA46" s="2">
        <v>25</v>
      </c>
      <c r="AB46" s="2">
        <v>20</v>
      </c>
    </row>
    <row r="47" spans="1:28" s="2" customFormat="1">
      <c r="A47" s="2" t="s">
        <v>26</v>
      </c>
      <c r="B47" s="2" t="s">
        <v>114</v>
      </c>
      <c r="C47" s="2">
        <v>30767</v>
      </c>
      <c r="D47" s="2" t="s">
        <v>27</v>
      </c>
      <c r="E47" s="2" t="s">
        <v>87</v>
      </c>
      <c r="F47" s="2" t="s">
        <v>29</v>
      </c>
      <c r="G47" s="2" t="s">
        <v>30</v>
      </c>
      <c r="H47" s="3">
        <v>44708</v>
      </c>
      <c r="I47" s="3">
        <v>44708</v>
      </c>
      <c r="J47" s="2" t="s">
        <v>53</v>
      </c>
      <c r="K47" s="2" t="s">
        <v>88</v>
      </c>
      <c r="L47" s="2" t="s">
        <v>89</v>
      </c>
      <c r="M47" s="2" t="s">
        <v>54</v>
      </c>
      <c r="N47" s="2" t="s">
        <v>55</v>
      </c>
      <c r="O47" s="2" t="s">
        <v>56</v>
      </c>
      <c r="P47" s="8">
        <v>5057091450127</v>
      </c>
      <c r="Q47" s="2" t="s">
        <v>58</v>
      </c>
      <c r="R47" s="2" t="s">
        <v>30</v>
      </c>
      <c r="S47" s="4" t="str">
        <f>VLOOKUP(P47,[2]StockItem!$R:$S,2,0)</f>
        <v>XL</v>
      </c>
      <c r="T47" s="2">
        <v>6</v>
      </c>
      <c r="U47" s="2">
        <v>6</v>
      </c>
      <c r="V47" s="2">
        <v>3.45</v>
      </c>
      <c r="W47" s="2">
        <v>20.7</v>
      </c>
      <c r="X47" s="2" t="s">
        <v>37</v>
      </c>
      <c r="Y47" s="2" t="s">
        <v>38</v>
      </c>
      <c r="Z47" s="2" t="s">
        <v>39</v>
      </c>
      <c r="AA47" s="2">
        <v>25</v>
      </c>
      <c r="AB47" s="2">
        <v>20</v>
      </c>
    </row>
    <row r="48" spans="1:28" s="2" customFormat="1">
      <c r="A48" s="2" t="s">
        <v>26</v>
      </c>
      <c r="B48" s="2" t="s">
        <v>114</v>
      </c>
      <c r="C48" s="2">
        <v>30767</v>
      </c>
      <c r="D48" s="2" t="s">
        <v>27</v>
      </c>
      <c r="E48" s="2" t="s">
        <v>87</v>
      </c>
      <c r="F48" s="2" t="s">
        <v>29</v>
      </c>
      <c r="G48" s="2" t="s">
        <v>30</v>
      </c>
      <c r="H48" s="3">
        <v>44708</v>
      </c>
      <c r="I48" s="3">
        <v>44708</v>
      </c>
      <c r="J48" s="2" t="s">
        <v>53</v>
      </c>
      <c r="K48" s="2" t="s">
        <v>88</v>
      </c>
      <c r="L48" s="2" t="s">
        <v>89</v>
      </c>
      <c r="M48" s="2" t="s">
        <v>54</v>
      </c>
      <c r="N48" s="2" t="s">
        <v>55</v>
      </c>
      <c r="O48" s="2" t="s">
        <v>56</v>
      </c>
      <c r="P48" s="8">
        <v>5057091450134</v>
      </c>
      <c r="Q48" s="2" t="s">
        <v>58</v>
      </c>
      <c r="R48" s="2" t="s">
        <v>30</v>
      </c>
      <c r="S48" s="4" t="str">
        <f>VLOOKUP(P48,[2]StockItem!$R:$S,2,0)</f>
        <v>XXL</v>
      </c>
      <c r="T48" s="2">
        <v>4</v>
      </c>
      <c r="U48" s="2">
        <v>4</v>
      </c>
      <c r="V48" s="2">
        <v>3.45</v>
      </c>
      <c r="W48" s="2">
        <v>13.8</v>
      </c>
      <c r="X48" s="2" t="s">
        <v>37</v>
      </c>
      <c r="Y48" s="2" t="s">
        <v>38</v>
      </c>
      <c r="Z48" s="2" t="s">
        <v>39</v>
      </c>
      <c r="AA48" s="2">
        <v>25</v>
      </c>
      <c r="AB48" s="2">
        <v>20</v>
      </c>
    </row>
    <row r="49" spans="1:28" s="4" customFormat="1">
      <c r="A49" s="4" t="s">
        <v>26</v>
      </c>
      <c r="B49" s="4" t="s">
        <v>114</v>
      </c>
      <c r="C49" s="4">
        <v>30767</v>
      </c>
      <c r="D49" s="4" t="s">
        <v>27</v>
      </c>
      <c r="E49" s="4" t="s">
        <v>87</v>
      </c>
      <c r="F49" s="4" t="s">
        <v>29</v>
      </c>
      <c r="G49" s="4" t="s">
        <v>30</v>
      </c>
      <c r="H49" s="5">
        <v>44708</v>
      </c>
      <c r="I49" s="5">
        <v>44708</v>
      </c>
      <c r="J49" s="4" t="s">
        <v>53</v>
      </c>
      <c r="K49" s="4" t="s">
        <v>88</v>
      </c>
      <c r="L49" s="4" t="s">
        <v>89</v>
      </c>
      <c r="M49" s="4" t="s">
        <v>97</v>
      </c>
      <c r="N49" s="4" t="s">
        <v>98</v>
      </c>
      <c r="O49" s="4" t="s">
        <v>99</v>
      </c>
      <c r="P49" s="6">
        <v>5057091438903</v>
      </c>
      <c r="Q49" s="4" t="s">
        <v>101</v>
      </c>
      <c r="R49" s="4" t="s">
        <v>161</v>
      </c>
      <c r="S49" s="4" t="e">
        <f>VLOOKUP(P49,[2]StockItem!$R:$S,2,0)</f>
        <v>#N/A</v>
      </c>
      <c r="T49" s="4">
        <v>1</v>
      </c>
      <c r="U49" s="4">
        <v>1</v>
      </c>
      <c r="V49" s="4">
        <v>51</v>
      </c>
      <c r="W49" s="4">
        <v>51</v>
      </c>
      <c r="X49" s="4" t="s">
        <v>37</v>
      </c>
      <c r="Y49" s="4" t="s">
        <v>38</v>
      </c>
      <c r="Z49" s="4" t="s">
        <v>39</v>
      </c>
      <c r="AA49" s="4">
        <v>28</v>
      </c>
      <c r="AB49" s="4">
        <v>20</v>
      </c>
    </row>
    <row r="50" spans="1:28" s="4" customFormat="1">
      <c r="A50" s="4" t="s">
        <v>26</v>
      </c>
      <c r="B50" s="4" t="s">
        <v>114</v>
      </c>
      <c r="C50" s="4">
        <v>30767</v>
      </c>
      <c r="D50" s="4" t="s">
        <v>27</v>
      </c>
      <c r="E50" s="4" t="s">
        <v>87</v>
      </c>
      <c r="F50" s="4" t="s">
        <v>29</v>
      </c>
      <c r="G50" s="4" t="s">
        <v>30</v>
      </c>
      <c r="H50" s="5">
        <v>44708</v>
      </c>
      <c r="I50" s="5">
        <v>44708</v>
      </c>
      <c r="J50" s="4" t="s">
        <v>53</v>
      </c>
      <c r="K50" s="4" t="s">
        <v>88</v>
      </c>
      <c r="L50" s="4" t="s">
        <v>89</v>
      </c>
      <c r="M50" s="4" t="s">
        <v>97</v>
      </c>
      <c r="N50" s="4" t="s">
        <v>98</v>
      </c>
      <c r="O50" s="4" t="s">
        <v>99</v>
      </c>
      <c r="P50" s="6">
        <v>5057091450387</v>
      </c>
      <c r="Q50" s="4" t="s">
        <v>101</v>
      </c>
      <c r="R50" s="4" t="s">
        <v>161</v>
      </c>
      <c r="S50" s="4" t="e">
        <f>VLOOKUP(P50,[2]StockItem!$R:$S,2,0)</f>
        <v>#N/A</v>
      </c>
      <c r="T50" s="4">
        <v>2</v>
      </c>
      <c r="U50" s="4">
        <v>2</v>
      </c>
      <c r="V50" s="4">
        <v>4.25</v>
      </c>
      <c r="W50" s="4">
        <v>8.5</v>
      </c>
      <c r="X50" s="4" t="s">
        <v>37</v>
      </c>
      <c r="Y50" s="4" t="s">
        <v>38</v>
      </c>
      <c r="Z50" s="4" t="s">
        <v>39</v>
      </c>
      <c r="AA50" s="4">
        <v>28</v>
      </c>
      <c r="AB50" s="4">
        <v>20</v>
      </c>
    </row>
    <row r="51" spans="1:28" s="4" customFormat="1">
      <c r="A51" s="4" t="s">
        <v>26</v>
      </c>
      <c r="B51" s="4" t="s">
        <v>114</v>
      </c>
      <c r="C51" s="4">
        <v>30767</v>
      </c>
      <c r="D51" s="4" t="s">
        <v>27</v>
      </c>
      <c r="E51" s="4" t="s">
        <v>87</v>
      </c>
      <c r="F51" s="4" t="s">
        <v>29</v>
      </c>
      <c r="G51" s="4" t="s">
        <v>30</v>
      </c>
      <c r="H51" s="5">
        <v>44708</v>
      </c>
      <c r="I51" s="5">
        <v>44708</v>
      </c>
      <c r="J51" s="4" t="s">
        <v>53</v>
      </c>
      <c r="K51" s="4" t="s">
        <v>88</v>
      </c>
      <c r="L51" s="4" t="s">
        <v>89</v>
      </c>
      <c r="M51" s="4" t="s">
        <v>97</v>
      </c>
      <c r="N51" s="4" t="s">
        <v>98</v>
      </c>
      <c r="O51" s="4" t="s">
        <v>99</v>
      </c>
      <c r="P51" s="6">
        <v>5057091450394</v>
      </c>
      <c r="Q51" s="4" t="s">
        <v>101</v>
      </c>
      <c r="R51" s="4" t="s">
        <v>161</v>
      </c>
      <c r="S51" s="4" t="str">
        <f>VLOOKUP(P51,[2]StockItem!$R:$S,2,0)</f>
        <v>L</v>
      </c>
      <c r="T51" s="4">
        <v>5</v>
      </c>
      <c r="U51" s="4">
        <v>5</v>
      </c>
      <c r="V51" s="4">
        <v>4.25</v>
      </c>
      <c r="W51" s="4">
        <v>21.25</v>
      </c>
      <c r="X51" s="4" t="s">
        <v>37</v>
      </c>
      <c r="Y51" s="4" t="s">
        <v>38</v>
      </c>
      <c r="Z51" s="4" t="s">
        <v>39</v>
      </c>
      <c r="AA51" s="4">
        <v>28</v>
      </c>
      <c r="AB51" s="4">
        <v>20</v>
      </c>
    </row>
    <row r="52" spans="1:28" s="4" customFormat="1">
      <c r="A52" s="4" t="s">
        <v>26</v>
      </c>
      <c r="B52" s="4" t="s">
        <v>114</v>
      </c>
      <c r="C52" s="4">
        <v>30767</v>
      </c>
      <c r="D52" s="4" t="s">
        <v>27</v>
      </c>
      <c r="E52" s="4" t="s">
        <v>87</v>
      </c>
      <c r="F52" s="4" t="s">
        <v>29</v>
      </c>
      <c r="G52" s="4" t="s">
        <v>30</v>
      </c>
      <c r="H52" s="5">
        <v>44708</v>
      </c>
      <c r="I52" s="5">
        <v>44708</v>
      </c>
      <c r="J52" s="4" t="s">
        <v>53</v>
      </c>
      <c r="K52" s="4" t="s">
        <v>88</v>
      </c>
      <c r="L52" s="4" t="s">
        <v>89</v>
      </c>
      <c r="M52" s="4" t="s">
        <v>97</v>
      </c>
      <c r="N52" s="4" t="s">
        <v>98</v>
      </c>
      <c r="O52" s="4" t="s">
        <v>99</v>
      </c>
      <c r="P52" s="6">
        <v>5057091450400</v>
      </c>
      <c r="Q52" s="4" t="s">
        <v>101</v>
      </c>
      <c r="R52" s="4" t="s">
        <v>161</v>
      </c>
      <c r="S52" s="4" t="str">
        <f>VLOOKUP(P52,[2]StockItem!$R:$S,2,0)</f>
        <v>XL</v>
      </c>
      <c r="T52" s="4">
        <v>3</v>
      </c>
      <c r="U52" s="4">
        <v>3</v>
      </c>
      <c r="V52" s="4">
        <v>4.25</v>
      </c>
      <c r="W52" s="4">
        <v>12.75</v>
      </c>
      <c r="X52" s="4" t="s">
        <v>37</v>
      </c>
      <c r="Y52" s="4" t="s">
        <v>38</v>
      </c>
      <c r="Z52" s="4" t="s">
        <v>39</v>
      </c>
      <c r="AA52" s="4">
        <v>28</v>
      </c>
      <c r="AB52" s="4">
        <v>20</v>
      </c>
    </row>
    <row r="53" spans="1:28" s="4" customFormat="1">
      <c r="A53" s="4" t="s">
        <v>26</v>
      </c>
      <c r="B53" s="4" t="s">
        <v>114</v>
      </c>
      <c r="C53" s="4">
        <v>30767</v>
      </c>
      <c r="D53" s="4" t="s">
        <v>27</v>
      </c>
      <c r="E53" s="4" t="s">
        <v>87</v>
      </c>
      <c r="F53" s="4" t="s">
        <v>29</v>
      </c>
      <c r="G53" s="4" t="s">
        <v>30</v>
      </c>
      <c r="H53" s="5">
        <v>44708</v>
      </c>
      <c r="I53" s="5">
        <v>44708</v>
      </c>
      <c r="J53" s="4" t="s">
        <v>53</v>
      </c>
      <c r="K53" s="4" t="s">
        <v>88</v>
      </c>
      <c r="L53" s="4" t="s">
        <v>89</v>
      </c>
      <c r="M53" s="4" t="s">
        <v>97</v>
      </c>
      <c r="N53" s="4" t="s">
        <v>98</v>
      </c>
      <c r="O53" s="4" t="s">
        <v>99</v>
      </c>
      <c r="P53" s="6">
        <v>5057091450417</v>
      </c>
      <c r="Q53" s="4" t="s">
        <v>101</v>
      </c>
      <c r="R53" s="4" t="s">
        <v>161</v>
      </c>
      <c r="S53" s="4" t="str">
        <f>VLOOKUP(P53,[2]StockItem!$R:$S,2,0)</f>
        <v>XXL</v>
      </c>
      <c r="T53" s="4">
        <v>2</v>
      </c>
      <c r="U53" s="4">
        <v>2</v>
      </c>
      <c r="V53" s="4">
        <v>4.25</v>
      </c>
      <c r="W53" s="4">
        <v>8.5</v>
      </c>
      <c r="X53" s="4" t="s">
        <v>37</v>
      </c>
      <c r="Y53" s="4" t="s">
        <v>38</v>
      </c>
      <c r="Z53" s="4" t="s">
        <v>39</v>
      </c>
      <c r="AA53" s="4">
        <v>28</v>
      </c>
      <c r="AB53" s="4">
        <v>20</v>
      </c>
    </row>
    <row r="54" spans="1:28" s="4" customFormat="1">
      <c r="A54" s="4" t="s">
        <v>26</v>
      </c>
      <c r="B54" s="4" t="s">
        <v>114</v>
      </c>
      <c r="C54" s="4">
        <v>30767</v>
      </c>
      <c r="D54" s="4" t="s">
        <v>27</v>
      </c>
      <c r="E54" s="4" t="s">
        <v>87</v>
      </c>
      <c r="F54" s="4" t="s">
        <v>29</v>
      </c>
      <c r="G54" s="4" t="s">
        <v>30</v>
      </c>
      <c r="H54" s="5">
        <v>44708</v>
      </c>
      <c r="I54" s="5">
        <v>44708</v>
      </c>
      <c r="J54" s="4" t="s">
        <v>59</v>
      </c>
      <c r="K54" s="4" t="s">
        <v>88</v>
      </c>
      <c r="L54" s="4" t="s">
        <v>89</v>
      </c>
      <c r="M54" s="4" t="s">
        <v>60</v>
      </c>
      <c r="N54" s="4" t="s">
        <v>61</v>
      </c>
      <c r="O54" s="4" t="s">
        <v>62</v>
      </c>
      <c r="P54" s="6">
        <v>5057091438941</v>
      </c>
      <c r="Q54" s="4" t="s">
        <v>74</v>
      </c>
      <c r="R54" s="4" t="str">
        <f>VLOOKUP(Q54,[1]Planning!$L:$M, 2,0)</f>
        <v>NAVY</v>
      </c>
      <c r="S54" s="4" t="e">
        <f>VLOOKUP(P54,[2]StockItem!$R:$S,2,0)</f>
        <v>#N/A</v>
      </c>
      <c r="T54" s="4">
        <v>1</v>
      </c>
      <c r="U54" s="4">
        <v>1</v>
      </c>
      <c r="V54" s="4">
        <v>18</v>
      </c>
      <c r="W54" s="4">
        <v>18</v>
      </c>
      <c r="X54" s="4" t="s">
        <v>37</v>
      </c>
      <c r="Y54" s="4" t="s">
        <v>38</v>
      </c>
      <c r="Z54" s="4" t="s">
        <v>39</v>
      </c>
      <c r="AA54" s="4">
        <v>9.99</v>
      </c>
      <c r="AB54" s="4">
        <v>6.99</v>
      </c>
    </row>
    <row r="55" spans="1:28" s="4" customFormat="1">
      <c r="A55" s="4" t="s">
        <v>26</v>
      </c>
      <c r="B55" s="4" t="s">
        <v>114</v>
      </c>
      <c r="C55" s="4">
        <v>30767</v>
      </c>
      <c r="D55" s="4" t="s">
        <v>27</v>
      </c>
      <c r="E55" s="4" t="s">
        <v>87</v>
      </c>
      <c r="F55" s="4" t="s">
        <v>29</v>
      </c>
      <c r="G55" s="4" t="s">
        <v>30</v>
      </c>
      <c r="H55" s="5">
        <v>44708</v>
      </c>
      <c r="I55" s="5">
        <v>44708</v>
      </c>
      <c r="J55" s="4" t="s">
        <v>59</v>
      </c>
      <c r="K55" s="4" t="s">
        <v>88</v>
      </c>
      <c r="L55" s="4" t="s">
        <v>89</v>
      </c>
      <c r="M55" s="4" t="s">
        <v>107</v>
      </c>
      <c r="N55" s="4" t="s">
        <v>108</v>
      </c>
      <c r="O55" s="4" t="s">
        <v>109</v>
      </c>
      <c r="P55" s="6">
        <v>5057091439023</v>
      </c>
      <c r="Q55" s="4" t="s">
        <v>74</v>
      </c>
      <c r="R55" s="4" t="str">
        <f>VLOOKUP(Q55,[1]Planning!$L:$M, 2,0)</f>
        <v>NAVY</v>
      </c>
      <c r="S55" s="4" t="e">
        <f>VLOOKUP(P55,[2]StockItem!$R:$S,2,0)</f>
        <v>#N/A</v>
      </c>
      <c r="T55" s="4">
        <v>1</v>
      </c>
      <c r="U55" s="4">
        <v>1</v>
      </c>
      <c r="V55" s="4">
        <v>33.9</v>
      </c>
      <c r="W55" s="4">
        <v>33.9</v>
      </c>
      <c r="X55" s="4" t="s">
        <v>37</v>
      </c>
      <c r="Y55" s="4" t="s">
        <v>38</v>
      </c>
      <c r="Z55" s="4" t="s">
        <v>39</v>
      </c>
      <c r="AA55" s="4">
        <v>16.989999999999998</v>
      </c>
      <c r="AB55" s="4">
        <v>12.99</v>
      </c>
    </row>
    <row r="56" spans="1:28" s="2" customFormat="1">
      <c r="A56" s="2" t="s">
        <v>26</v>
      </c>
      <c r="B56" s="2" t="s">
        <v>114</v>
      </c>
      <c r="C56" s="2">
        <v>30767</v>
      </c>
      <c r="D56" s="2" t="s">
        <v>27</v>
      </c>
      <c r="E56" s="2" t="s">
        <v>87</v>
      </c>
      <c r="F56" s="2" t="s">
        <v>29</v>
      </c>
      <c r="G56" s="2" t="s">
        <v>30</v>
      </c>
      <c r="H56" s="3">
        <v>44708</v>
      </c>
      <c r="I56" s="3">
        <v>44708</v>
      </c>
      <c r="J56" s="2" t="s">
        <v>31</v>
      </c>
      <c r="K56" s="2" t="s">
        <v>88</v>
      </c>
      <c r="L56" s="2" t="s">
        <v>89</v>
      </c>
      <c r="M56" s="2" t="s">
        <v>111</v>
      </c>
      <c r="N56" s="2" t="s">
        <v>112</v>
      </c>
      <c r="O56" s="2" t="s">
        <v>113</v>
      </c>
      <c r="P56" s="8">
        <v>5057091439443</v>
      </c>
      <c r="Q56" s="2" t="s">
        <v>74</v>
      </c>
      <c r="R56" s="2" t="s">
        <v>30</v>
      </c>
      <c r="S56" s="4" t="e">
        <f>VLOOKUP(P56,[2]StockItem!$R:$S,2,0)</f>
        <v>#N/A</v>
      </c>
      <c r="T56" s="2">
        <v>1</v>
      </c>
      <c r="U56" s="2">
        <v>1</v>
      </c>
      <c r="V56" s="2">
        <v>54</v>
      </c>
      <c r="W56" s="2">
        <v>54</v>
      </c>
      <c r="X56" s="2" t="s">
        <v>37</v>
      </c>
      <c r="Y56" s="2" t="s">
        <v>38</v>
      </c>
      <c r="Z56" s="2" t="s">
        <v>39</v>
      </c>
      <c r="AA56" s="2">
        <v>30</v>
      </c>
      <c r="AB56" s="2">
        <v>20</v>
      </c>
    </row>
    <row r="57" spans="1:28" s="4" customFormat="1">
      <c r="A57" s="4" t="s">
        <v>26</v>
      </c>
      <c r="B57" s="4" t="s">
        <v>114</v>
      </c>
      <c r="C57" s="4">
        <v>30767</v>
      </c>
      <c r="D57" s="4" t="s">
        <v>27</v>
      </c>
      <c r="E57" s="4" t="s">
        <v>87</v>
      </c>
      <c r="F57" s="4" t="s">
        <v>29</v>
      </c>
      <c r="G57" s="4" t="s">
        <v>30</v>
      </c>
      <c r="H57" s="5">
        <v>44708</v>
      </c>
      <c r="I57" s="5">
        <v>44708</v>
      </c>
      <c r="J57" s="4" t="s">
        <v>31</v>
      </c>
      <c r="K57" s="4" t="s">
        <v>88</v>
      </c>
      <c r="L57" s="4" t="s">
        <v>89</v>
      </c>
      <c r="M57" s="4" t="s">
        <v>79</v>
      </c>
      <c r="N57" s="4" t="s">
        <v>80</v>
      </c>
      <c r="O57" s="4" t="s">
        <v>81</v>
      </c>
      <c r="P57" s="6">
        <v>5057091439672</v>
      </c>
      <c r="Q57" s="4" t="s">
        <v>85</v>
      </c>
      <c r="R57" s="4" t="s">
        <v>158</v>
      </c>
      <c r="S57" s="4" t="e">
        <f>VLOOKUP(P57,[2]StockItem!$R:$S,2,0)</f>
        <v>#N/A</v>
      </c>
      <c r="T57" s="4">
        <v>1</v>
      </c>
      <c r="U57" s="4">
        <v>1</v>
      </c>
      <c r="V57" s="4">
        <v>67.2</v>
      </c>
      <c r="W57" s="4">
        <v>67.2</v>
      </c>
      <c r="X57" s="4" t="s">
        <v>37</v>
      </c>
      <c r="Y57" s="4" t="s">
        <v>38</v>
      </c>
      <c r="Z57" s="4" t="s">
        <v>39</v>
      </c>
      <c r="AA57" s="4">
        <v>35</v>
      </c>
      <c r="AB57" s="4">
        <v>20</v>
      </c>
    </row>
    <row r="58" spans="1:28" s="2" customFormat="1">
      <c r="A58" s="2" t="s">
        <v>26</v>
      </c>
      <c r="B58" s="2" t="s">
        <v>118</v>
      </c>
      <c r="C58" s="2">
        <v>30766</v>
      </c>
      <c r="D58" s="2" t="s">
        <v>27</v>
      </c>
      <c r="E58" s="2" t="s">
        <v>115</v>
      </c>
      <c r="F58" s="2" t="s">
        <v>29</v>
      </c>
      <c r="G58" s="2" t="s">
        <v>30</v>
      </c>
      <c r="H58" s="3">
        <v>44708</v>
      </c>
      <c r="I58" s="3">
        <v>44708</v>
      </c>
      <c r="J58" s="2" t="s">
        <v>31</v>
      </c>
      <c r="K58" s="2" t="s">
        <v>116</v>
      </c>
      <c r="L58" s="2" t="s">
        <v>117</v>
      </c>
      <c r="M58" s="2" t="s">
        <v>34</v>
      </c>
      <c r="N58" s="2" t="s">
        <v>35</v>
      </c>
      <c r="O58" s="2" t="s">
        <v>36</v>
      </c>
      <c r="P58" s="8">
        <v>5057949126358</v>
      </c>
      <c r="Q58" s="2" t="s">
        <v>30</v>
      </c>
      <c r="R58" s="2" t="s">
        <v>30</v>
      </c>
      <c r="S58" s="4" t="e">
        <f>VLOOKUP(P58,[2]StockItem!$R:$S,2,0)</f>
        <v>#N/A</v>
      </c>
      <c r="T58" s="2">
        <v>2</v>
      </c>
      <c r="U58" s="2">
        <v>2</v>
      </c>
      <c r="V58" s="2">
        <v>54.54</v>
      </c>
      <c r="W58" s="2">
        <v>109.08</v>
      </c>
      <c r="X58" s="2" t="s">
        <v>37</v>
      </c>
      <c r="Y58" s="2" t="s">
        <v>38</v>
      </c>
      <c r="Z58" s="2" t="s">
        <v>39</v>
      </c>
      <c r="AA58" s="2">
        <v>30</v>
      </c>
      <c r="AB58" s="2">
        <v>20</v>
      </c>
    </row>
    <row r="59" spans="1:28" s="2" customFormat="1">
      <c r="A59" s="2" t="s">
        <v>26</v>
      </c>
      <c r="B59" s="2" t="s">
        <v>118</v>
      </c>
      <c r="C59" s="2">
        <v>30766</v>
      </c>
      <c r="D59" s="2" t="s">
        <v>27</v>
      </c>
      <c r="E59" s="2" t="s">
        <v>115</v>
      </c>
      <c r="F59" s="2" t="s">
        <v>29</v>
      </c>
      <c r="G59" s="2" t="s">
        <v>30</v>
      </c>
      <c r="H59" s="3">
        <v>44708</v>
      </c>
      <c r="I59" s="3">
        <v>44708</v>
      </c>
      <c r="J59" s="2" t="s">
        <v>31</v>
      </c>
      <c r="K59" s="2" t="s">
        <v>116</v>
      </c>
      <c r="L59" s="2" t="s">
        <v>117</v>
      </c>
      <c r="M59" s="2" t="s">
        <v>34</v>
      </c>
      <c r="N59" s="2" t="s">
        <v>40</v>
      </c>
      <c r="O59" s="2" t="s">
        <v>41</v>
      </c>
      <c r="P59" s="8">
        <v>5057949126365</v>
      </c>
      <c r="Q59" s="2" t="s">
        <v>30</v>
      </c>
      <c r="R59" s="2" t="s">
        <v>30</v>
      </c>
      <c r="S59" s="4" t="e">
        <f>VLOOKUP(P59,[2]StockItem!$R:$S,2,0)</f>
        <v>#N/A</v>
      </c>
      <c r="T59" s="2">
        <v>3</v>
      </c>
      <c r="U59" s="2">
        <v>3</v>
      </c>
      <c r="V59" s="2">
        <v>54.54</v>
      </c>
      <c r="W59" s="2">
        <v>163.62</v>
      </c>
      <c r="X59" s="2" t="s">
        <v>37</v>
      </c>
      <c r="Y59" s="2" t="s">
        <v>38</v>
      </c>
      <c r="Z59" s="2" t="s">
        <v>39</v>
      </c>
      <c r="AA59" s="2">
        <v>30</v>
      </c>
      <c r="AB59" s="2">
        <v>20</v>
      </c>
    </row>
    <row r="60" spans="1:28" s="2" customFormat="1">
      <c r="A60" s="2" t="s">
        <v>26</v>
      </c>
      <c r="B60" s="2" t="s">
        <v>118</v>
      </c>
      <c r="C60" s="2">
        <v>30766</v>
      </c>
      <c r="D60" s="2" t="s">
        <v>27</v>
      </c>
      <c r="E60" s="2" t="s">
        <v>115</v>
      </c>
      <c r="F60" s="2" t="s">
        <v>29</v>
      </c>
      <c r="G60" s="2" t="s">
        <v>30</v>
      </c>
      <c r="H60" s="3">
        <v>44708</v>
      </c>
      <c r="I60" s="3">
        <v>44708</v>
      </c>
      <c r="J60" s="2" t="s">
        <v>53</v>
      </c>
      <c r="K60" s="2" t="s">
        <v>116</v>
      </c>
      <c r="L60" s="2" t="s">
        <v>117</v>
      </c>
      <c r="M60" s="2" t="s">
        <v>54</v>
      </c>
      <c r="N60" s="2" t="s">
        <v>55</v>
      </c>
      <c r="O60" s="2" t="s">
        <v>56</v>
      </c>
      <c r="P60" s="8">
        <v>5057091450127</v>
      </c>
      <c r="Q60" s="2" t="s">
        <v>58</v>
      </c>
      <c r="R60" s="2" t="s">
        <v>30</v>
      </c>
      <c r="S60" s="4" t="str">
        <f>VLOOKUP(P60,[2]StockItem!$R:$S,2,0)</f>
        <v>XL</v>
      </c>
      <c r="T60" s="2">
        <v>6</v>
      </c>
      <c r="U60" s="2">
        <v>6</v>
      </c>
      <c r="V60" s="2">
        <v>3.45</v>
      </c>
      <c r="W60" s="2">
        <v>20.7</v>
      </c>
      <c r="X60" s="2" t="s">
        <v>37</v>
      </c>
      <c r="Y60" s="2" t="s">
        <v>38</v>
      </c>
      <c r="Z60" s="2" t="s">
        <v>39</v>
      </c>
      <c r="AA60" s="2">
        <v>25</v>
      </c>
      <c r="AB60" s="2">
        <v>20</v>
      </c>
    </row>
    <row r="61" spans="1:28" s="2" customFormat="1">
      <c r="A61" s="2" t="s">
        <v>26</v>
      </c>
      <c r="B61" s="2" t="s">
        <v>118</v>
      </c>
      <c r="C61" s="2">
        <v>30766</v>
      </c>
      <c r="D61" s="2" t="s">
        <v>27</v>
      </c>
      <c r="E61" s="2" t="s">
        <v>115</v>
      </c>
      <c r="F61" s="2" t="s">
        <v>29</v>
      </c>
      <c r="G61" s="2" t="s">
        <v>30</v>
      </c>
      <c r="H61" s="3">
        <v>44708</v>
      </c>
      <c r="I61" s="3">
        <v>44708</v>
      </c>
      <c r="J61" s="2" t="s">
        <v>53</v>
      </c>
      <c r="K61" s="2" t="s">
        <v>116</v>
      </c>
      <c r="L61" s="2" t="s">
        <v>117</v>
      </c>
      <c r="M61" s="2" t="s">
        <v>54</v>
      </c>
      <c r="N61" s="2" t="s">
        <v>55</v>
      </c>
      <c r="O61" s="2" t="s">
        <v>56</v>
      </c>
      <c r="P61" s="8">
        <v>5057091450134</v>
      </c>
      <c r="Q61" s="2" t="s">
        <v>58</v>
      </c>
      <c r="R61" s="2" t="s">
        <v>30</v>
      </c>
      <c r="S61" s="4" t="str">
        <f>VLOOKUP(P61,[2]StockItem!$R:$S,2,0)</f>
        <v>XXL</v>
      </c>
      <c r="T61" s="2">
        <v>4</v>
      </c>
      <c r="U61" s="2">
        <v>4</v>
      </c>
      <c r="V61" s="2">
        <v>3.45</v>
      </c>
      <c r="W61" s="2">
        <v>13.8</v>
      </c>
      <c r="X61" s="2" t="s">
        <v>37</v>
      </c>
      <c r="Y61" s="2" t="s">
        <v>38</v>
      </c>
      <c r="Z61" s="2" t="s">
        <v>39</v>
      </c>
      <c r="AA61" s="2">
        <v>25</v>
      </c>
      <c r="AB61" s="2">
        <v>20</v>
      </c>
    </row>
    <row r="62" spans="1:28" s="2" customFormat="1">
      <c r="A62" s="2" t="s">
        <v>26</v>
      </c>
      <c r="B62" s="2" t="s">
        <v>118</v>
      </c>
      <c r="C62" s="2">
        <v>30766</v>
      </c>
      <c r="D62" s="2" t="s">
        <v>27</v>
      </c>
      <c r="E62" s="2" t="s">
        <v>115</v>
      </c>
      <c r="F62" s="2" t="s">
        <v>29</v>
      </c>
      <c r="G62" s="2" t="s">
        <v>30</v>
      </c>
      <c r="H62" s="3">
        <v>44708</v>
      </c>
      <c r="I62" s="3">
        <v>44708</v>
      </c>
      <c r="J62" s="2" t="s">
        <v>53</v>
      </c>
      <c r="K62" s="2" t="s">
        <v>116</v>
      </c>
      <c r="L62" s="2" t="s">
        <v>117</v>
      </c>
      <c r="M62" s="2" t="s">
        <v>54</v>
      </c>
      <c r="N62" s="2" t="s">
        <v>55</v>
      </c>
      <c r="O62" s="2" t="s">
        <v>56</v>
      </c>
      <c r="P62" s="8">
        <v>5057091450066</v>
      </c>
      <c r="Q62" s="2" t="s">
        <v>57</v>
      </c>
      <c r="R62" s="2" t="s">
        <v>30</v>
      </c>
      <c r="S62" s="4" t="str">
        <f>VLOOKUP(P62,[2]StockItem!$R:$S,2,0)</f>
        <v>M</v>
      </c>
      <c r="T62" s="2">
        <v>6</v>
      </c>
      <c r="U62" s="2">
        <v>6</v>
      </c>
      <c r="V62" s="2">
        <v>3.45</v>
      </c>
      <c r="W62" s="2">
        <v>20.7</v>
      </c>
      <c r="X62" s="2" t="s">
        <v>37</v>
      </c>
      <c r="Y62" s="2" t="s">
        <v>38</v>
      </c>
      <c r="Z62" s="2" t="s">
        <v>39</v>
      </c>
      <c r="AA62" s="2">
        <v>25</v>
      </c>
      <c r="AB62" s="2">
        <v>20</v>
      </c>
    </row>
    <row r="63" spans="1:28" s="2" customFormat="1">
      <c r="A63" s="2" t="s">
        <v>26</v>
      </c>
      <c r="B63" s="2" t="s">
        <v>118</v>
      </c>
      <c r="C63" s="2">
        <v>30766</v>
      </c>
      <c r="D63" s="2" t="s">
        <v>27</v>
      </c>
      <c r="E63" s="2" t="s">
        <v>115</v>
      </c>
      <c r="F63" s="2" t="s">
        <v>29</v>
      </c>
      <c r="G63" s="2" t="s">
        <v>30</v>
      </c>
      <c r="H63" s="3">
        <v>44708</v>
      </c>
      <c r="I63" s="3">
        <v>44708</v>
      </c>
      <c r="J63" s="2" t="s">
        <v>53</v>
      </c>
      <c r="K63" s="2" t="s">
        <v>116</v>
      </c>
      <c r="L63" s="2" t="s">
        <v>117</v>
      </c>
      <c r="M63" s="2" t="s">
        <v>54</v>
      </c>
      <c r="N63" s="2" t="s">
        <v>55</v>
      </c>
      <c r="O63" s="2" t="s">
        <v>56</v>
      </c>
      <c r="P63" s="8">
        <v>5057091450073</v>
      </c>
      <c r="Q63" s="2" t="s">
        <v>57</v>
      </c>
      <c r="R63" s="2" t="s">
        <v>30</v>
      </c>
      <c r="S63" s="4" t="str">
        <f>VLOOKUP(P63,[2]StockItem!$R:$S,2,0)</f>
        <v>L</v>
      </c>
      <c r="T63" s="2">
        <v>8</v>
      </c>
      <c r="U63" s="2">
        <v>8</v>
      </c>
      <c r="V63" s="2">
        <v>3.45</v>
      </c>
      <c r="W63" s="2">
        <v>27.6</v>
      </c>
      <c r="X63" s="2" t="s">
        <v>37</v>
      </c>
      <c r="Y63" s="2" t="s">
        <v>38</v>
      </c>
      <c r="Z63" s="2" t="s">
        <v>39</v>
      </c>
      <c r="AA63" s="2">
        <v>25</v>
      </c>
      <c r="AB63" s="2">
        <v>20</v>
      </c>
    </row>
    <row r="64" spans="1:28" s="2" customFormat="1">
      <c r="A64" s="2" t="s">
        <v>26</v>
      </c>
      <c r="B64" s="2" t="s">
        <v>118</v>
      </c>
      <c r="C64" s="2">
        <v>30766</v>
      </c>
      <c r="D64" s="2" t="s">
        <v>27</v>
      </c>
      <c r="E64" s="2" t="s">
        <v>115</v>
      </c>
      <c r="F64" s="2" t="s">
        <v>29</v>
      </c>
      <c r="G64" s="2" t="s">
        <v>30</v>
      </c>
      <c r="H64" s="3">
        <v>44708</v>
      </c>
      <c r="I64" s="3">
        <v>44708</v>
      </c>
      <c r="J64" s="2" t="s">
        <v>53</v>
      </c>
      <c r="K64" s="2" t="s">
        <v>116</v>
      </c>
      <c r="L64" s="2" t="s">
        <v>117</v>
      </c>
      <c r="M64" s="2" t="s">
        <v>54</v>
      </c>
      <c r="N64" s="2" t="s">
        <v>55</v>
      </c>
      <c r="O64" s="2" t="s">
        <v>56</v>
      </c>
      <c r="P64" s="8">
        <v>5057091450080</v>
      </c>
      <c r="Q64" s="2" t="s">
        <v>57</v>
      </c>
      <c r="R64" s="2" t="s">
        <v>30</v>
      </c>
      <c r="S64" s="4" t="str">
        <f>VLOOKUP(P64,[2]StockItem!$R:$S,2,0)</f>
        <v>XL</v>
      </c>
      <c r="T64" s="2">
        <v>6</v>
      </c>
      <c r="U64" s="2">
        <v>6</v>
      </c>
      <c r="V64" s="2">
        <v>3.45</v>
      </c>
      <c r="W64" s="2">
        <v>20.7</v>
      </c>
      <c r="X64" s="2" t="s">
        <v>37</v>
      </c>
      <c r="Y64" s="2" t="s">
        <v>38</v>
      </c>
      <c r="Z64" s="2" t="s">
        <v>39</v>
      </c>
      <c r="AA64" s="2">
        <v>25</v>
      </c>
      <c r="AB64" s="2">
        <v>20</v>
      </c>
    </row>
    <row r="65" spans="1:28" s="2" customFormat="1">
      <c r="A65" s="2" t="s">
        <v>26</v>
      </c>
      <c r="B65" s="2" t="s">
        <v>118</v>
      </c>
      <c r="C65" s="2">
        <v>30766</v>
      </c>
      <c r="D65" s="2" t="s">
        <v>27</v>
      </c>
      <c r="E65" s="2" t="s">
        <v>115</v>
      </c>
      <c r="F65" s="2" t="s">
        <v>29</v>
      </c>
      <c r="G65" s="2" t="s">
        <v>30</v>
      </c>
      <c r="H65" s="3">
        <v>44708</v>
      </c>
      <c r="I65" s="3">
        <v>44708</v>
      </c>
      <c r="J65" s="2" t="s">
        <v>53</v>
      </c>
      <c r="K65" s="2" t="s">
        <v>116</v>
      </c>
      <c r="L65" s="2" t="s">
        <v>117</v>
      </c>
      <c r="M65" s="2" t="s">
        <v>54</v>
      </c>
      <c r="N65" s="2" t="s">
        <v>55</v>
      </c>
      <c r="O65" s="2" t="s">
        <v>56</v>
      </c>
      <c r="P65" s="8">
        <v>5057091450097</v>
      </c>
      <c r="Q65" s="2" t="s">
        <v>57</v>
      </c>
      <c r="R65" s="2" t="s">
        <v>30</v>
      </c>
      <c r="S65" s="4" t="str">
        <f>VLOOKUP(P65,[2]StockItem!$R:$S,2,0)</f>
        <v>XXL</v>
      </c>
      <c r="T65" s="2">
        <v>4</v>
      </c>
      <c r="U65" s="2">
        <v>4</v>
      </c>
      <c r="V65" s="2">
        <v>3.45</v>
      </c>
      <c r="W65" s="2">
        <v>13.8</v>
      </c>
      <c r="X65" s="2" t="s">
        <v>37</v>
      </c>
      <c r="Y65" s="2" t="s">
        <v>38</v>
      </c>
      <c r="Z65" s="2" t="s">
        <v>39</v>
      </c>
      <c r="AA65" s="2">
        <v>25</v>
      </c>
      <c r="AB65" s="2">
        <v>20</v>
      </c>
    </row>
    <row r="66" spans="1:28" s="2" customFormat="1">
      <c r="A66" s="2" t="s">
        <v>26</v>
      </c>
      <c r="B66" s="2" t="s">
        <v>118</v>
      </c>
      <c r="C66" s="2">
        <v>30766</v>
      </c>
      <c r="D66" s="2" t="s">
        <v>27</v>
      </c>
      <c r="E66" s="2" t="s">
        <v>115</v>
      </c>
      <c r="F66" s="2" t="s">
        <v>29</v>
      </c>
      <c r="G66" s="2" t="s">
        <v>30</v>
      </c>
      <c r="H66" s="3">
        <v>44708</v>
      </c>
      <c r="I66" s="3">
        <v>44708</v>
      </c>
      <c r="J66" s="2" t="s">
        <v>53</v>
      </c>
      <c r="K66" s="2" t="s">
        <v>116</v>
      </c>
      <c r="L66" s="2" t="s">
        <v>117</v>
      </c>
      <c r="M66" s="2" t="s">
        <v>54</v>
      </c>
      <c r="N66" s="2" t="s">
        <v>55</v>
      </c>
      <c r="O66" s="2" t="s">
        <v>56</v>
      </c>
      <c r="P66" s="8">
        <v>5057091450103</v>
      </c>
      <c r="Q66" s="2" t="s">
        <v>58</v>
      </c>
      <c r="R66" s="2" t="s">
        <v>30</v>
      </c>
      <c r="S66" s="4" t="str">
        <f>VLOOKUP(P66,[2]StockItem!$R:$S,2,0)</f>
        <v>M</v>
      </c>
      <c r="T66" s="2">
        <v>6</v>
      </c>
      <c r="U66" s="2">
        <v>6</v>
      </c>
      <c r="V66" s="2">
        <v>3.45</v>
      </c>
      <c r="W66" s="2">
        <v>20.7</v>
      </c>
      <c r="X66" s="2" t="s">
        <v>37</v>
      </c>
      <c r="Y66" s="2" t="s">
        <v>38</v>
      </c>
      <c r="Z66" s="2" t="s">
        <v>39</v>
      </c>
      <c r="AA66" s="2">
        <v>25</v>
      </c>
      <c r="AB66" s="2">
        <v>20</v>
      </c>
    </row>
    <row r="67" spans="1:28" s="2" customFormat="1">
      <c r="A67" s="2" t="s">
        <v>26</v>
      </c>
      <c r="B67" s="2" t="s">
        <v>118</v>
      </c>
      <c r="C67" s="2">
        <v>30766</v>
      </c>
      <c r="D67" s="2" t="s">
        <v>27</v>
      </c>
      <c r="E67" s="2" t="s">
        <v>115</v>
      </c>
      <c r="F67" s="2" t="s">
        <v>29</v>
      </c>
      <c r="G67" s="2" t="s">
        <v>30</v>
      </c>
      <c r="H67" s="3">
        <v>44708</v>
      </c>
      <c r="I67" s="3">
        <v>44708</v>
      </c>
      <c r="J67" s="2" t="s">
        <v>53</v>
      </c>
      <c r="K67" s="2" t="s">
        <v>116</v>
      </c>
      <c r="L67" s="2" t="s">
        <v>117</v>
      </c>
      <c r="M67" s="2" t="s">
        <v>54</v>
      </c>
      <c r="N67" s="2" t="s">
        <v>55</v>
      </c>
      <c r="O67" s="2" t="s">
        <v>56</v>
      </c>
      <c r="P67" s="8">
        <v>5057091450110</v>
      </c>
      <c r="Q67" s="2" t="s">
        <v>58</v>
      </c>
      <c r="R67" s="2" t="s">
        <v>30</v>
      </c>
      <c r="S67" s="4" t="str">
        <f>VLOOKUP(P67,[2]StockItem!$R:$S,2,0)</f>
        <v>L</v>
      </c>
      <c r="T67" s="2">
        <v>8</v>
      </c>
      <c r="U67" s="2">
        <v>8</v>
      </c>
      <c r="V67" s="2">
        <v>3.45</v>
      </c>
      <c r="W67" s="2">
        <v>27.6</v>
      </c>
      <c r="X67" s="2" t="s">
        <v>37</v>
      </c>
      <c r="Y67" s="2" t="s">
        <v>38</v>
      </c>
      <c r="Z67" s="2" t="s">
        <v>39</v>
      </c>
      <c r="AA67" s="2">
        <v>25</v>
      </c>
      <c r="AB67" s="2">
        <v>20</v>
      </c>
    </row>
    <row r="68" spans="1:28" s="4" customFormat="1">
      <c r="A68" s="4" t="s">
        <v>26</v>
      </c>
      <c r="B68" s="4" t="s">
        <v>118</v>
      </c>
      <c r="C68" s="4">
        <v>30766</v>
      </c>
      <c r="D68" s="4" t="s">
        <v>27</v>
      </c>
      <c r="E68" s="4" t="s">
        <v>115</v>
      </c>
      <c r="F68" s="4" t="s">
        <v>29</v>
      </c>
      <c r="G68" s="4" t="s">
        <v>30</v>
      </c>
      <c r="H68" s="5">
        <v>44708</v>
      </c>
      <c r="I68" s="5">
        <v>44708</v>
      </c>
      <c r="J68" s="4" t="s">
        <v>59</v>
      </c>
      <c r="K68" s="4" t="s">
        <v>116</v>
      </c>
      <c r="L68" s="4" t="s">
        <v>117</v>
      </c>
      <c r="M68" s="4" t="s">
        <v>60</v>
      </c>
      <c r="N68" s="4" t="s">
        <v>61</v>
      </c>
      <c r="O68" s="4" t="s">
        <v>62</v>
      </c>
      <c r="P68" s="6">
        <v>5057091438989</v>
      </c>
      <c r="Q68" s="4" t="s">
        <v>64</v>
      </c>
      <c r="R68" s="4" t="str">
        <f>VLOOKUP(Q68,[1]Planning!$L:$M, 2,0)</f>
        <v>GREEN</v>
      </c>
      <c r="S68" s="4" t="e">
        <f>VLOOKUP(P68,[2]StockItem!$R:$S,2,0)</f>
        <v>#N/A</v>
      </c>
      <c r="T68" s="4">
        <v>1</v>
      </c>
      <c r="U68" s="4">
        <v>1</v>
      </c>
      <c r="V68" s="4">
        <v>18</v>
      </c>
      <c r="W68" s="4">
        <v>18</v>
      </c>
      <c r="X68" s="4" t="s">
        <v>37</v>
      </c>
      <c r="Y68" s="4" t="s">
        <v>38</v>
      </c>
      <c r="Z68" s="4" t="s">
        <v>39</v>
      </c>
      <c r="AA68" s="4">
        <v>9.99</v>
      </c>
      <c r="AB68" s="4">
        <v>6.99</v>
      </c>
    </row>
    <row r="69" spans="1:28" s="4" customFormat="1">
      <c r="A69" s="4" t="s">
        <v>26</v>
      </c>
      <c r="B69" s="4" t="s">
        <v>118</v>
      </c>
      <c r="C69" s="4">
        <v>30766</v>
      </c>
      <c r="D69" s="4" t="s">
        <v>27</v>
      </c>
      <c r="E69" s="4" t="s">
        <v>115</v>
      </c>
      <c r="F69" s="4" t="s">
        <v>29</v>
      </c>
      <c r="G69" s="4" t="s">
        <v>30</v>
      </c>
      <c r="H69" s="5">
        <v>44708</v>
      </c>
      <c r="I69" s="5">
        <v>44708</v>
      </c>
      <c r="J69" s="4" t="s">
        <v>31</v>
      </c>
      <c r="K69" s="4" t="s">
        <v>116</v>
      </c>
      <c r="L69" s="4" t="s">
        <v>117</v>
      </c>
      <c r="M69" s="4" t="s">
        <v>65</v>
      </c>
      <c r="N69" s="4" t="s">
        <v>66</v>
      </c>
      <c r="O69" s="4" t="s">
        <v>67</v>
      </c>
      <c r="P69" s="6">
        <v>5057091439542</v>
      </c>
      <c r="Q69" s="4" t="s">
        <v>69</v>
      </c>
      <c r="R69" s="4" t="s">
        <v>157</v>
      </c>
      <c r="S69" s="4" t="e">
        <f>VLOOKUP(P69,[2]StockItem!$R:$S,2,0)</f>
        <v>#N/A</v>
      </c>
      <c r="T69" s="4">
        <v>1</v>
      </c>
      <c r="U69" s="4">
        <v>1</v>
      </c>
      <c r="V69" s="4">
        <v>54</v>
      </c>
      <c r="W69" s="4">
        <v>54</v>
      </c>
      <c r="X69" s="4" t="s">
        <v>37</v>
      </c>
      <c r="Y69" s="4" t="s">
        <v>38</v>
      </c>
      <c r="Z69" s="4" t="s">
        <v>39</v>
      </c>
      <c r="AA69" s="4">
        <v>30</v>
      </c>
      <c r="AB69" s="4">
        <v>20</v>
      </c>
    </row>
    <row r="70" spans="1:28" s="4" customFormat="1">
      <c r="A70" s="4" t="s">
        <v>26</v>
      </c>
      <c r="B70" s="4" t="s">
        <v>118</v>
      </c>
      <c r="C70" s="4">
        <v>30766</v>
      </c>
      <c r="D70" s="4" t="s">
        <v>27</v>
      </c>
      <c r="E70" s="4" t="s">
        <v>115</v>
      </c>
      <c r="F70" s="4" t="s">
        <v>29</v>
      </c>
      <c r="G70" s="4" t="s">
        <v>30</v>
      </c>
      <c r="H70" s="5">
        <v>44708</v>
      </c>
      <c r="I70" s="5">
        <v>44708</v>
      </c>
      <c r="J70" s="4" t="s">
        <v>31</v>
      </c>
      <c r="K70" s="4" t="s">
        <v>116</v>
      </c>
      <c r="L70" s="4" t="s">
        <v>117</v>
      </c>
      <c r="M70" s="4" t="s">
        <v>70</v>
      </c>
      <c r="N70" s="4" t="s">
        <v>71</v>
      </c>
      <c r="O70" s="4" t="s">
        <v>72</v>
      </c>
      <c r="P70" s="6">
        <v>5057091439689</v>
      </c>
      <c r="Q70" s="4" t="s">
        <v>74</v>
      </c>
      <c r="R70" s="4" t="str">
        <f>VLOOKUP(Q70,[1]Planning!$L:$M, 2,0)</f>
        <v>NAVY</v>
      </c>
      <c r="S70" s="4" t="e">
        <f>VLOOKUP(P70,[2]StockItem!$R:$S,2,0)</f>
        <v>#N/A</v>
      </c>
      <c r="T70" s="4">
        <v>1</v>
      </c>
      <c r="U70" s="4">
        <v>1</v>
      </c>
      <c r="V70" s="4">
        <v>87.6</v>
      </c>
      <c r="W70" s="4">
        <v>87.6</v>
      </c>
      <c r="X70" s="4" t="s">
        <v>37</v>
      </c>
      <c r="Y70" s="4" t="s">
        <v>38</v>
      </c>
      <c r="Z70" s="4" t="s">
        <v>39</v>
      </c>
      <c r="AA70" s="4">
        <v>40</v>
      </c>
      <c r="AB70" s="4">
        <v>20</v>
      </c>
    </row>
    <row r="71" spans="1:28" s="4" customFormat="1">
      <c r="A71" s="4" t="s">
        <v>26</v>
      </c>
      <c r="B71" s="4" t="s">
        <v>132</v>
      </c>
      <c r="C71" s="4">
        <v>30768</v>
      </c>
      <c r="D71" s="4" t="s">
        <v>27</v>
      </c>
      <c r="E71" s="4" t="s">
        <v>119</v>
      </c>
      <c r="F71" s="4" t="s">
        <v>29</v>
      </c>
      <c r="G71" s="4" t="s">
        <v>30</v>
      </c>
      <c r="H71" s="5">
        <v>44708</v>
      </c>
      <c r="I71" s="5">
        <v>44708</v>
      </c>
      <c r="J71" s="4" t="s">
        <v>30</v>
      </c>
      <c r="K71" s="4" t="s">
        <v>120</v>
      </c>
      <c r="L71" s="4" t="s">
        <v>121</v>
      </c>
      <c r="M71" s="4" t="s">
        <v>30</v>
      </c>
      <c r="N71" s="4" t="s">
        <v>90</v>
      </c>
      <c r="O71" s="4" t="s">
        <v>154</v>
      </c>
      <c r="P71" s="6">
        <v>5057091435346</v>
      </c>
      <c r="Q71" s="4" t="s">
        <v>96</v>
      </c>
      <c r="R71" s="4" t="s">
        <v>159</v>
      </c>
      <c r="S71" s="4" t="e">
        <f>VLOOKUP(P71,[2]StockItem!$R:$S,2,0)</f>
        <v>#N/A</v>
      </c>
      <c r="T71" s="4">
        <v>1</v>
      </c>
      <c r="U71" s="4">
        <v>1</v>
      </c>
      <c r="V71" s="4">
        <v>17</v>
      </c>
      <c r="W71" s="4">
        <v>17</v>
      </c>
      <c r="X71" s="4" t="s">
        <v>37</v>
      </c>
      <c r="Y71" s="4" t="s">
        <v>38</v>
      </c>
      <c r="Z71" s="4" t="s">
        <v>39</v>
      </c>
      <c r="AA71" s="4">
        <v>9.99</v>
      </c>
      <c r="AB71" s="4">
        <v>6.99</v>
      </c>
    </row>
    <row r="72" spans="1:28" s="2" customFormat="1">
      <c r="A72" s="2" t="s">
        <v>26</v>
      </c>
      <c r="B72" s="2" t="s">
        <v>132</v>
      </c>
      <c r="C72" s="2">
        <v>30765</v>
      </c>
      <c r="D72" s="2" t="s">
        <v>27</v>
      </c>
      <c r="E72" s="2" t="s">
        <v>123</v>
      </c>
      <c r="F72" s="2" t="s">
        <v>29</v>
      </c>
      <c r="G72" s="2" t="s">
        <v>30</v>
      </c>
      <c r="H72" s="3">
        <v>44708</v>
      </c>
      <c r="I72" s="3">
        <v>44708</v>
      </c>
      <c r="J72" s="2" t="s">
        <v>31</v>
      </c>
      <c r="K72" s="2" t="s">
        <v>120</v>
      </c>
      <c r="L72" s="2" t="s">
        <v>121</v>
      </c>
      <c r="M72" s="2" t="s">
        <v>34</v>
      </c>
      <c r="N72" s="2" t="s">
        <v>35</v>
      </c>
      <c r="O72" s="2" t="s">
        <v>36</v>
      </c>
      <c r="P72" s="8">
        <v>5057949126358</v>
      </c>
      <c r="Q72" s="2" t="s">
        <v>30</v>
      </c>
      <c r="R72" s="2" t="s">
        <v>30</v>
      </c>
      <c r="S72" s="4" t="e">
        <f>VLOOKUP(P72,[2]StockItem!$R:$S,2,0)</f>
        <v>#N/A</v>
      </c>
      <c r="T72" s="2">
        <v>2</v>
      </c>
      <c r="U72" s="2">
        <v>2</v>
      </c>
      <c r="V72" s="2">
        <v>54.54</v>
      </c>
      <c r="W72" s="2">
        <v>109.08</v>
      </c>
      <c r="X72" s="2" t="s">
        <v>37</v>
      </c>
      <c r="Y72" s="2" t="s">
        <v>38</v>
      </c>
      <c r="Z72" s="2" t="s">
        <v>39</v>
      </c>
      <c r="AA72" s="2">
        <v>30</v>
      </c>
      <c r="AB72" s="2">
        <v>20</v>
      </c>
    </row>
    <row r="73" spans="1:28" s="4" customFormat="1">
      <c r="A73" s="4" t="s">
        <v>26</v>
      </c>
      <c r="B73" s="4" t="s">
        <v>132</v>
      </c>
      <c r="C73" s="4">
        <v>30765</v>
      </c>
      <c r="D73" s="4" t="s">
        <v>27</v>
      </c>
      <c r="E73" s="4" t="s">
        <v>123</v>
      </c>
      <c r="F73" s="4" t="s">
        <v>29</v>
      </c>
      <c r="G73" s="4" t="s">
        <v>30</v>
      </c>
      <c r="H73" s="5">
        <v>44708</v>
      </c>
      <c r="I73" s="5">
        <v>44708</v>
      </c>
      <c r="J73" s="4" t="s">
        <v>31</v>
      </c>
      <c r="K73" s="4" t="s">
        <v>120</v>
      </c>
      <c r="L73" s="4" t="s">
        <v>121</v>
      </c>
      <c r="M73" s="4" t="s">
        <v>48</v>
      </c>
      <c r="N73" s="4" t="s">
        <v>124</v>
      </c>
      <c r="O73" s="4" t="s">
        <v>125</v>
      </c>
      <c r="P73" s="6">
        <v>5057949222395</v>
      </c>
      <c r="Q73" s="4" t="s">
        <v>74</v>
      </c>
      <c r="R73" s="4" t="str">
        <f>VLOOKUP(Q73,[1]Planning!$L:$M, 2,0)</f>
        <v>NAVY</v>
      </c>
      <c r="S73" s="4" t="e">
        <f>VLOOKUP(P73,[2]StockItem!$R:$S,2,0)</f>
        <v>#N/A</v>
      </c>
      <c r="T73" s="4">
        <v>1</v>
      </c>
      <c r="U73" s="4">
        <v>1</v>
      </c>
      <c r="V73" s="4">
        <v>54</v>
      </c>
      <c r="W73" s="4">
        <v>54</v>
      </c>
      <c r="X73" s="4" t="s">
        <v>37</v>
      </c>
      <c r="Y73" s="4" t="s">
        <v>38</v>
      </c>
      <c r="Z73" s="4" t="s">
        <v>39</v>
      </c>
      <c r="AA73" s="4">
        <v>30</v>
      </c>
      <c r="AB73" s="4">
        <v>20</v>
      </c>
    </row>
    <row r="74" spans="1:28" s="2" customFormat="1">
      <c r="A74" s="2" t="s">
        <v>26</v>
      </c>
      <c r="B74" s="2" t="s">
        <v>132</v>
      </c>
      <c r="C74" s="2">
        <v>30765</v>
      </c>
      <c r="D74" s="2" t="s">
        <v>27</v>
      </c>
      <c r="E74" s="2" t="s">
        <v>123</v>
      </c>
      <c r="F74" s="2" t="s">
        <v>29</v>
      </c>
      <c r="G74" s="2" t="s">
        <v>30</v>
      </c>
      <c r="H74" s="3">
        <v>44708</v>
      </c>
      <c r="I74" s="3">
        <v>44708</v>
      </c>
      <c r="J74" s="2" t="s">
        <v>53</v>
      </c>
      <c r="K74" s="2" t="s">
        <v>120</v>
      </c>
      <c r="L74" s="2" t="s">
        <v>121</v>
      </c>
      <c r="M74" s="2" t="s">
        <v>54</v>
      </c>
      <c r="N74" s="2" t="s">
        <v>55</v>
      </c>
      <c r="O74" s="2" t="s">
        <v>56</v>
      </c>
      <c r="P74" s="8">
        <v>5057091450127</v>
      </c>
      <c r="Q74" s="2" t="s">
        <v>58</v>
      </c>
      <c r="R74" s="2" t="s">
        <v>30</v>
      </c>
      <c r="S74" s="4" t="str">
        <f>VLOOKUP(P74,[2]StockItem!$R:$S,2,0)</f>
        <v>XL</v>
      </c>
      <c r="T74" s="2">
        <v>6</v>
      </c>
      <c r="U74" s="2">
        <v>6</v>
      </c>
      <c r="V74" s="2">
        <v>3.45</v>
      </c>
      <c r="W74" s="2">
        <v>20.7</v>
      </c>
      <c r="X74" s="2" t="s">
        <v>37</v>
      </c>
      <c r="Y74" s="2" t="s">
        <v>38</v>
      </c>
      <c r="Z74" s="2" t="s">
        <v>39</v>
      </c>
      <c r="AA74" s="2">
        <v>25</v>
      </c>
      <c r="AB74" s="2">
        <v>20</v>
      </c>
    </row>
    <row r="75" spans="1:28" s="2" customFormat="1">
      <c r="A75" s="2" t="s">
        <v>26</v>
      </c>
      <c r="B75" s="2" t="s">
        <v>132</v>
      </c>
      <c r="C75" s="2">
        <v>30765</v>
      </c>
      <c r="D75" s="2" t="s">
        <v>27</v>
      </c>
      <c r="E75" s="2" t="s">
        <v>123</v>
      </c>
      <c r="F75" s="2" t="s">
        <v>29</v>
      </c>
      <c r="G75" s="2" t="s">
        <v>30</v>
      </c>
      <c r="H75" s="3">
        <v>44708</v>
      </c>
      <c r="I75" s="3">
        <v>44708</v>
      </c>
      <c r="J75" s="2" t="s">
        <v>53</v>
      </c>
      <c r="K75" s="2" t="s">
        <v>120</v>
      </c>
      <c r="L75" s="2" t="s">
        <v>121</v>
      </c>
      <c r="M75" s="2" t="s">
        <v>54</v>
      </c>
      <c r="N75" s="2" t="s">
        <v>55</v>
      </c>
      <c r="O75" s="2" t="s">
        <v>56</v>
      </c>
      <c r="P75" s="8">
        <v>5057091450134</v>
      </c>
      <c r="Q75" s="2" t="s">
        <v>58</v>
      </c>
      <c r="R75" s="2" t="s">
        <v>30</v>
      </c>
      <c r="S75" s="4" t="str">
        <f>VLOOKUP(P75,[2]StockItem!$R:$S,2,0)</f>
        <v>XXL</v>
      </c>
      <c r="T75" s="2">
        <v>4</v>
      </c>
      <c r="U75" s="2">
        <v>4</v>
      </c>
      <c r="V75" s="2">
        <v>3.45</v>
      </c>
      <c r="W75" s="2">
        <v>13.8</v>
      </c>
      <c r="X75" s="2" t="s">
        <v>37</v>
      </c>
      <c r="Y75" s="2" t="s">
        <v>38</v>
      </c>
      <c r="Z75" s="2" t="s">
        <v>39</v>
      </c>
      <c r="AA75" s="2">
        <v>25</v>
      </c>
      <c r="AB75" s="2">
        <v>20</v>
      </c>
    </row>
    <row r="76" spans="1:28" s="2" customFormat="1">
      <c r="A76" s="2" t="s">
        <v>26</v>
      </c>
      <c r="B76" s="2" t="s">
        <v>132</v>
      </c>
      <c r="C76" s="2">
        <v>30765</v>
      </c>
      <c r="D76" s="2" t="s">
        <v>27</v>
      </c>
      <c r="E76" s="2" t="s">
        <v>123</v>
      </c>
      <c r="F76" s="2" t="s">
        <v>29</v>
      </c>
      <c r="G76" s="2" t="s">
        <v>30</v>
      </c>
      <c r="H76" s="3">
        <v>44708</v>
      </c>
      <c r="I76" s="3">
        <v>44708</v>
      </c>
      <c r="J76" s="2" t="s">
        <v>53</v>
      </c>
      <c r="K76" s="2" t="s">
        <v>120</v>
      </c>
      <c r="L76" s="2" t="s">
        <v>121</v>
      </c>
      <c r="M76" s="2" t="s">
        <v>54</v>
      </c>
      <c r="N76" s="2" t="s">
        <v>55</v>
      </c>
      <c r="O76" s="2" t="s">
        <v>56</v>
      </c>
      <c r="P76" s="8">
        <v>5057091450066</v>
      </c>
      <c r="Q76" s="2" t="s">
        <v>57</v>
      </c>
      <c r="R76" s="2" t="s">
        <v>30</v>
      </c>
      <c r="S76" s="4" t="str">
        <f>VLOOKUP(P76,[2]StockItem!$R:$S,2,0)</f>
        <v>M</v>
      </c>
      <c r="T76" s="2">
        <v>6</v>
      </c>
      <c r="U76" s="2">
        <v>6</v>
      </c>
      <c r="V76" s="2">
        <v>3.45</v>
      </c>
      <c r="W76" s="2">
        <v>20.7</v>
      </c>
      <c r="X76" s="2" t="s">
        <v>37</v>
      </c>
      <c r="Y76" s="2" t="s">
        <v>38</v>
      </c>
      <c r="Z76" s="2" t="s">
        <v>39</v>
      </c>
      <c r="AA76" s="2">
        <v>25</v>
      </c>
      <c r="AB76" s="2">
        <v>20</v>
      </c>
    </row>
    <row r="77" spans="1:28" s="2" customFormat="1">
      <c r="A77" s="2" t="s">
        <v>26</v>
      </c>
      <c r="B77" s="2" t="s">
        <v>132</v>
      </c>
      <c r="C77" s="2">
        <v>30765</v>
      </c>
      <c r="D77" s="2" t="s">
        <v>27</v>
      </c>
      <c r="E77" s="2" t="s">
        <v>123</v>
      </c>
      <c r="F77" s="2" t="s">
        <v>29</v>
      </c>
      <c r="G77" s="2" t="s">
        <v>30</v>
      </c>
      <c r="H77" s="3">
        <v>44708</v>
      </c>
      <c r="I77" s="3">
        <v>44708</v>
      </c>
      <c r="J77" s="2" t="s">
        <v>53</v>
      </c>
      <c r="K77" s="2" t="s">
        <v>120</v>
      </c>
      <c r="L77" s="2" t="s">
        <v>121</v>
      </c>
      <c r="M77" s="2" t="s">
        <v>54</v>
      </c>
      <c r="N77" s="2" t="s">
        <v>55</v>
      </c>
      <c r="O77" s="2" t="s">
        <v>56</v>
      </c>
      <c r="P77" s="8">
        <v>5057091450073</v>
      </c>
      <c r="Q77" s="2" t="s">
        <v>57</v>
      </c>
      <c r="R77" s="2" t="s">
        <v>30</v>
      </c>
      <c r="S77" s="4" t="str">
        <f>VLOOKUP(P77,[2]StockItem!$R:$S,2,0)</f>
        <v>L</v>
      </c>
      <c r="T77" s="2">
        <v>8</v>
      </c>
      <c r="U77" s="2">
        <v>8</v>
      </c>
      <c r="V77" s="2">
        <v>3.45</v>
      </c>
      <c r="W77" s="2">
        <v>27.6</v>
      </c>
      <c r="X77" s="2" t="s">
        <v>37</v>
      </c>
      <c r="Y77" s="2" t="s">
        <v>38</v>
      </c>
      <c r="Z77" s="2" t="s">
        <v>39</v>
      </c>
      <c r="AA77" s="2">
        <v>25</v>
      </c>
      <c r="AB77" s="2">
        <v>20</v>
      </c>
    </row>
    <row r="78" spans="1:28" s="2" customFormat="1">
      <c r="A78" s="2" t="s">
        <v>26</v>
      </c>
      <c r="B78" s="2" t="s">
        <v>132</v>
      </c>
      <c r="C78" s="2">
        <v>30765</v>
      </c>
      <c r="D78" s="2" t="s">
        <v>27</v>
      </c>
      <c r="E78" s="2" t="s">
        <v>123</v>
      </c>
      <c r="F78" s="2" t="s">
        <v>29</v>
      </c>
      <c r="G78" s="2" t="s">
        <v>30</v>
      </c>
      <c r="H78" s="3">
        <v>44708</v>
      </c>
      <c r="I78" s="3">
        <v>44708</v>
      </c>
      <c r="J78" s="2" t="s">
        <v>53</v>
      </c>
      <c r="K78" s="2" t="s">
        <v>120</v>
      </c>
      <c r="L78" s="2" t="s">
        <v>121</v>
      </c>
      <c r="M78" s="2" t="s">
        <v>54</v>
      </c>
      <c r="N78" s="2" t="s">
        <v>55</v>
      </c>
      <c r="O78" s="2" t="s">
        <v>56</v>
      </c>
      <c r="P78" s="8">
        <v>5057091450080</v>
      </c>
      <c r="Q78" s="2" t="s">
        <v>57</v>
      </c>
      <c r="R78" s="2" t="s">
        <v>30</v>
      </c>
      <c r="S78" s="4" t="str">
        <f>VLOOKUP(P78,[2]StockItem!$R:$S,2,0)</f>
        <v>XL</v>
      </c>
      <c r="T78" s="2">
        <v>6</v>
      </c>
      <c r="U78" s="2">
        <v>6</v>
      </c>
      <c r="V78" s="2">
        <v>3.45</v>
      </c>
      <c r="W78" s="2">
        <v>20.7</v>
      </c>
      <c r="X78" s="2" t="s">
        <v>37</v>
      </c>
      <c r="Y78" s="2" t="s">
        <v>38</v>
      </c>
      <c r="Z78" s="2" t="s">
        <v>39</v>
      </c>
      <c r="AA78" s="2">
        <v>25</v>
      </c>
      <c r="AB78" s="2">
        <v>20</v>
      </c>
    </row>
    <row r="79" spans="1:28" s="2" customFormat="1">
      <c r="A79" s="2" t="s">
        <v>26</v>
      </c>
      <c r="B79" s="2" t="s">
        <v>132</v>
      </c>
      <c r="C79" s="2">
        <v>30765</v>
      </c>
      <c r="D79" s="2" t="s">
        <v>27</v>
      </c>
      <c r="E79" s="2" t="s">
        <v>123</v>
      </c>
      <c r="F79" s="2" t="s">
        <v>29</v>
      </c>
      <c r="G79" s="2" t="s">
        <v>30</v>
      </c>
      <c r="H79" s="3">
        <v>44708</v>
      </c>
      <c r="I79" s="3">
        <v>44708</v>
      </c>
      <c r="J79" s="2" t="s">
        <v>53</v>
      </c>
      <c r="K79" s="2" t="s">
        <v>120</v>
      </c>
      <c r="L79" s="2" t="s">
        <v>121</v>
      </c>
      <c r="M79" s="2" t="s">
        <v>54</v>
      </c>
      <c r="N79" s="2" t="s">
        <v>55</v>
      </c>
      <c r="O79" s="2" t="s">
        <v>56</v>
      </c>
      <c r="P79" s="8">
        <v>5057091450097</v>
      </c>
      <c r="Q79" s="2" t="s">
        <v>57</v>
      </c>
      <c r="R79" s="2" t="s">
        <v>30</v>
      </c>
      <c r="S79" s="4" t="str">
        <f>VLOOKUP(P79,[2]StockItem!$R:$S,2,0)</f>
        <v>XXL</v>
      </c>
      <c r="T79" s="2">
        <v>4</v>
      </c>
      <c r="U79" s="2">
        <v>4</v>
      </c>
      <c r="V79" s="2">
        <v>3.45</v>
      </c>
      <c r="W79" s="2">
        <v>13.8</v>
      </c>
      <c r="X79" s="2" t="s">
        <v>37</v>
      </c>
      <c r="Y79" s="2" t="s">
        <v>38</v>
      </c>
      <c r="Z79" s="2" t="s">
        <v>39</v>
      </c>
      <c r="AA79" s="2">
        <v>25</v>
      </c>
      <c r="AB79" s="2">
        <v>20</v>
      </c>
    </row>
    <row r="80" spans="1:28" s="2" customFormat="1">
      <c r="A80" s="2" t="s">
        <v>26</v>
      </c>
      <c r="B80" s="2" t="s">
        <v>132</v>
      </c>
      <c r="C80" s="2">
        <v>30765</v>
      </c>
      <c r="D80" s="2" t="s">
        <v>27</v>
      </c>
      <c r="E80" s="2" t="s">
        <v>123</v>
      </c>
      <c r="F80" s="2" t="s">
        <v>29</v>
      </c>
      <c r="G80" s="2" t="s">
        <v>30</v>
      </c>
      <c r="H80" s="3">
        <v>44708</v>
      </c>
      <c r="I80" s="3">
        <v>44708</v>
      </c>
      <c r="J80" s="2" t="s">
        <v>53</v>
      </c>
      <c r="K80" s="2" t="s">
        <v>120</v>
      </c>
      <c r="L80" s="2" t="s">
        <v>121</v>
      </c>
      <c r="M80" s="2" t="s">
        <v>54</v>
      </c>
      <c r="N80" s="2" t="s">
        <v>55</v>
      </c>
      <c r="O80" s="2" t="s">
        <v>56</v>
      </c>
      <c r="P80" s="8">
        <v>5057091450103</v>
      </c>
      <c r="Q80" s="2" t="s">
        <v>58</v>
      </c>
      <c r="R80" s="2" t="s">
        <v>30</v>
      </c>
      <c r="S80" s="4" t="str">
        <f>VLOOKUP(P80,[2]StockItem!$R:$S,2,0)</f>
        <v>M</v>
      </c>
      <c r="T80" s="2">
        <v>6</v>
      </c>
      <c r="U80" s="2">
        <v>6</v>
      </c>
      <c r="V80" s="2">
        <v>3.45</v>
      </c>
      <c r="W80" s="2">
        <v>20.7</v>
      </c>
      <c r="X80" s="2" t="s">
        <v>37</v>
      </c>
      <c r="Y80" s="2" t="s">
        <v>38</v>
      </c>
      <c r="Z80" s="2" t="s">
        <v>39</v>
      </c>
      <c r="AA80" s="2">
        <v>25</v>
      </c>
      <c r="AB80" s="2">
        <v>20</v>
      </c>
    </row>
    <row r="81" spans="1:28" s="2" customFormat="1">
      <c r="A81" s="2" t="s">
        <v>26</v>
      </c>
      <c r="B81" s="2" t="s">
        <v>132</v>
      </c>
      <c r="C81" s="2">
        <v>30765</v>
      </c>
      <c r="D81" s="2" t="s">
        <v>27</v>
      </c>
      <c r="E81" s="2" t="s">
        <v>123</v>
      </c>
      <c r="F81" s="2" t="s">
        <v>29</v>
      </c>
      <c r="G81" s="2" t="s">
        <v>30</v>
      </c>
      <c r="H81" s="3">
        <v>44708</v>
      </c>
      <c r="I81" s="3">
        <v>44708</v>
      </c>
      <c r="J81" s="2" t="s">
        <v>53</v>
      </c>
      <c r="K81" s="2" t="s">
        <v>120</v>
      </c>
      <c r="L81" s="2" t="s">
        <v>121</v>
      </c>
      <c r="M81" s="2" t="s">
        <v>54</v>
      </c>
      <c r="N81" s="2" t="s">
        <v>55</v>
      </c>
      <c r="O81" s="2" t="s">
        <v>56</v>
      </c>
      <c r="P81" s="8">
        <v>5057091450110</v>
      </c>
      <c r="Q81" s="2" t="s">
        <v>58</v>
      </c>
      <c r="R81" s="2" t="s">
        <v>30</v>
      </c>
      <c r="S81" s="4" t="str">
        <f>VLOOKUP(P81,[2]StockItem!$R:$S,2,0)</f>
        <v>L</v>
      </c>
      <c r="T81" s="2">
        <v>8</v>
      </c>
      <c r="U81" s="2">
        <v>8</v>
      </c>
      <c r="V81" s="2">
        <v>3.45</v>
      </c>
      <c r="W81" s="2">
        <v>27.6</v>
      </c>
      <c r="X81" s="2" t="s">
        <v>37</v>
      </c>
      <c r="Y81" s="2" t="s">
        <v>38</v>
      </c>
      <c r="Z81" s="2" t="s">
        <v>39</v>
      </c>
      <c r="AA81" s="2">
        <v>25</v>
      </c>
      <c r="AB81" s="2">
        <v>20</v>
      </c>
    </row>
    <row r="82" spans="1:28" s="4" customFormat="1">
      <c r="A82" s="4" t="s">
        <v>26</v>
      </c>
      <c r="B82" s="4" t="s">
        <v>132</v>
      </c>
      <c r="C82" s="4">
        <v>30765</v>
      </c>
      <c r="D82" s="4" t="s">
        <v>27</v>
      </c>
      <c r="E82" s="4" t="s">
        <v>123</v>
      </c>
      <c r="F82" s="4" t="s">
        <v>29</v>
      </c>
      <c r="G82" s="4" t="s">
        <v>30</v>
      </c>
      <c r="H82" s="5">
        <v>44708</v>
      </c>
      <c r="I82" s="5">
        <v>44708</v>
      </c>
      <c r="J82" s="4" t="s">
        <v>59</v>
      </c>
      <c r="K82" s="4" t="s">
        <v>120</v>
      </c>
      <c r="L82" s="4" t="s">
        <v>121</v>
      </c>
      <c r="M82" s="4" t="s">
        <v>60</v>
      </c>
      <c r="N82" s="4" t="s">
        <v>61</v>
      </c>
      <c r="O82" s="4" t="s">
        <v>62</v>
      </c>
      <c r="P82" s="6">
        <v>5057091439009</v>
      </c>
      <c r="Q82" s="4" t="s">
        <v>128</v>
      </c>
      <c r="R82" s="4" t="s">
        <v>128</v>
      </c>
      <c r="S82" s="4" t="e">
        <f>VLOOKUP(P82,[2]StockItem!$R:$S,2,0)</f>
        <v>#N/A</v>
      </c>
      <c r="T82" s="4">
        <v>1</v>
      </c>
      <c r="U82" s="4">
        <v>1</v>
      </c>
      <c r="V82" s="4">
        <v>18</v>
      </c>
      <c r="W82" s="4">
        <v>18</v>
      </c>
      <c r="X82" s="4" t="s">
        <v>37</v>
      </c>
      <c r="Y82" s="4" t="s">
        <v>38</v>
      </c>
      <c r="Z82" s="4" t="s">
        <v>39</v>
      </c>
      <c r="AA82" s="4">
        <v>9.99</v>
      </c>
      <c r="AB82" s="4">
        <v>6.99</v>
      </c>
    </row>
    <row r="83" spans="1:28" s="4" customFormat="1">
      <c r="A83" s="4" t="s">
        <v>26</v>
      </c>
      <c r="B83" s="4" t="s">
        <v>132</v>
      </c>
      <c r="C83" s="4">
        <v>30765</v>
      </c>
      <c r="D83" s="4" t="s">
        <v>27</v>
      </c>
      <c r="E83" s="4" t="s">
        <v>123</v>
      </c>
      <c r="F83" s="4" t="s">
        <v>29</v>
      </c>
      <c r="G83" s="4" t="s">
        <v>30</v>
      </c>
      <c r="H83" s="5">
        <v>44708</v>
      </c>
      <c r="I83" s="5">
        <v>44708</v>
      </c>
      <c r="J83" s="4" t="s">
        <v>59</v>
      </c>
      <c r="K83" s="4" t="s">
        <v>120</v>
      </c>
      <c r="L83" s="4" t="s">
        <v>121</v>
      </c>
      <c r="M83" s="4" t="s">
        <v>107</v>
      </c>
      <c r="N83" s="4" t="s">
        <v>108</v>
      </c>
      <c r="O83" s="4" t="s">
        <v>109</v>
      </c>
      <c r="P83" s="6">
        <v>5057091439061</v>
      </c>
      <c r="Q83" s="4" t="s">
        <v>64</v>
      </c>
      <c r="R83" s="4" t="str">
        <f>VLOOKUP(Q83,[1]Planning!$L:$M, 2,0)</f>
        <v>GREEN</v>
      </c>
      <c r="S83" s="4" t="e">
        <f>VLOOKUP(P83,[2]StockItem!$R:$S,2,0)</f>
        <v>#N/A</v>
      </c>
      <c r="T83" s="4">
        <v>1</v>
      </c>
      <c r="U83" s="4">
        <v>1</v>
      </c>
      <c r="V83" s="4">
        <v>33.9</v>
      </c>
      <c r="W83" s="4">
        <v>33.9</v>
      </c>
      <c r="X83" s="4" t="s">
        <v>37</v>
      </c>
      <c r="Y83" s="4" t="s">
        <v>38</v>
      </c>
      <c r="Z83" s="4" t="s">
        <v>39</v>
      </c>
      <c r="AA83" s="4">
        <v>16.989999999999998</v>
      </c>
      <c r="AB83" s="4">
        <v>12.99</v>
      </c>
    </row>
    <row r="84" spans="1:28" s="4" customFormat="1">
      <c r="A84" s="4" t="s">
        <v>26</v>
      </c>
      <c r="B84" s="4" t="s">
        <v>132</v>
      </c>
      <c r="C84" s="4">
        <v>30765</v>
      </c>
      <c r="D84" s="4" t="s">
        <v>27</v>
      </c>
      <c r="E84" s="4" t="s">
        <v>123</v>
      </c>
      <c r="F84" s="4" t="s">
        <v>29</v>
      </c>
      <c r="G84" s="4" t="s">
        <v>30</v>
      </c>
      <c r="H84" s="5">
        <v>44708</v>
      </c>
      <c r="I84" s="5">
        <v>44708</v>
      </c>
      <c r="J84" s="4" t="s">
        <v>31</v>
      </c>
      <c r="K84" s="4" t="s">
        <v>120</v>
      </c>
      <c r="L84" s="4" t="s">
        <v>121</v>
      </c>
      <c r="M84" s="4" t="s">
        <v>65</v>
      </c>
      <c r="N84" s="4" t="s">
        <v>66</v>
      </c>
      <c r="O84" s="4" t="s">
        <v>67</v>
      </c>
      <c r="P84" s="6">
        <v>5057091439528</v>
      </c>
      <c r="Q84" s="4" t="s">
        <v>131</v>
      </c>
      <c r="R84" s="4" t="str">
        <f>VLOOKUP(Q84,[1]Planning!$L:$M, 2,0)</f>
        <v>BLUE</v>
      </c>
      <c r="S84" s="4" t="e">
        <f>VLOOKUP(P84,[2]StockItem!$R:$S,2,0)</f>
        <v>#N/A</v>
      </c>
      <c r="T84" s="4">
        <v>1</v>
      </c>
      <c r="U84" s="4">
        <v>1</v>
      </c>
      <c r="V84" s="4">
        <v>54</v>
      </c>
      <c r="W84" s="4">
        <v>54</v>
      </c>
      <c r="X84" s="4" t="s">
        <v>37</v>
      </c>
      <c r="Y84" s="4" t="s">
        <v>38</v>
      </c>
      <c r="Z84" s="4" t="s">
        <v>39</v>
      </c>
      <c r="AA84" s="4">
        <v>30</v>
      </c>
      <c r="AB84" s="4">
        <v>20</v>
      </c>
    </row>
    <row r="85" spans="1:28" s="4" customFormat="1">
      <c r="A85" s="4" t="s">
        <v>26</v>
      </c>
      <c r="B85" s="4" t="s">
        <v>132</v>
      </c>
      <c r="C85" s="4">
        <v>30765</v>
      </c>
      <c r="D85" s="4" t="s">
        <v>27</v>
      </c>
      <c r="E85" s="4" t="s">
        <v>123</v>
      </c>
      <c r="F85" s="4" t="s">
        <v>29</v>
      </c>
      <c r="G85" s="4" t="s">
        <v>30</v>
      </c>
      <c r="H85" s="5">
        <v>44708</v>
      </c>
      <c r="I85" s="5">
        <v>44708</v>
      </c>
      <c r="J85" s="4" t="s">
        <v>31</v>
      </c>
      <c r="K85" s="4" t="s">
        <v>120</v>
      </c>
      <c r="L85" s="4" t="s">
        <v>121</v>
      </c>
      <c r="M85" s="4" t="s">
        <v>70</v>
      </c>
      <c r="N85" s="4" t="s">
        <v>71</v>
      </c>
      <c r="O85" s="4" t="s">
        <v>72</v>
      </c>
      <c r="P85" s="6">
        <v>5057091439689</v>
      </c>
      <c r="Q85" s="4" t="s">
        <v>74</v>
      </c>
      <c r="R85" s="4" t="str">
        <f>VLOOKUP(Q85,[1]Planning!$L:$M, 2,0)</f>
        <v>NAVY</v>
      </c>
      <c r="S85" s="4" t="e">
        <f>VLOOKUP(P85,[2]StockItem!$R:$S,2,0)</f>
        <v>#N/A</v>
      </c>
      <c r="T85" s="4">
        <v>1</v>
      </c>
      <c r="U85" s="4">
        <v>1</v>
      </c>
      <c r="V85" s="4">
        <v>87.6</v>
      </c>
      <c r="W85" s="4">
        <v>87.6</v>
      </c>
      <c r="X85" s="4" t="s">
        <v>37</v>
      </c>
      <c r="Y85" s="4" t="s">
        <v>38</v>
      </c>
      <c r="Z85" s="4" t="s">
        <v>39</v>
      </c>
      <c r="AA85" s="4">
        <v>40</v>
      </c>
      <c r="AB85" s="4">
        <v>20</v>
      </c>
    </row>
    <row r="86" spans="1:28" s="2" customFormat="1">
      <c r="A86" s="2" t="s">
        <v>26</v>
      </c>
      <c r="B86" s="2" t="s">
        <v>136</v>
      </c>
      <c r="C86" s="2">
        <v>30764</v>
      </c>
      <c r="D86" s="2" t="s">
        <v>27</v>
      </c>
      <c r="E86" s="2" t="s">
        <v>133</v>
      </c>
      <c r="F86" s="2" t="s">
        <v>29</v>
      </c>
      <c r="G86" s="2" t="s">
        <v>30</v>
      </c>
      <c r="H86" s="3">
        <v>44708</v>
      </c>
      <c r="I86" s="3">
        <v>44708</v>
      </c>
      <c r="J86" s="2" t="s">
        <v>31</v>
      </c>
      <c r="K86" s="2" t="s">
        <v>134</v>
      </c>
      <c r="L86" s="2" t="s">
        <v>135</v>
      </c>
      <c r="M86" s="2" t="s">
        <v>34</v>
      </c>
      <c r="N86" s="2" t="s">
        <v>35</v>
      </c>
      <c r="O86" s="2" t="s">
        <v>36</v>
      </c>
      <c r="P86" s="8">
        <v>5057949126358</v>
      </c>
      <c r="Q86" s="2" t="s">
        <v>30</v>
      </c>
      <c r="R86" s="2" t="s">
        <v>30</v>
      </c>
      <c r="S86" s="4" t="e">
        <f>VLOOKUP(P86,[2]StockItem!$R:$S,2,0)</f>
        <v>#N/A</v>
      </c>
      <c r="T86" s="2">
        <v>2</v>
      </c>
      <c r="U86" s="2">
        <v>2</v>
      </c>
      <c r="V86" s="2">
        <v>54.54</v>
      </c>
      <c r="W86" s="2">
        <v>109.08</v>
      </c>
      <c r="X86" s="2" t="s">
        <v>37</v>
      </c>
      <c r="Y86" s="2" t="s">
        <v>38</v>
      </c>
      <c r="Z86" s="2" t="s">
        <v>39</v>
      </c>
      <c r="AA86" s="2">
        <v>30</v>
      </c>
      <c r="AB86" s="2">
        <v>20</v>
      </c>
    </row>
    <row r="87" spans="1:28" s="2" customFormat="1">
      <c r="A87" s="2" t="s">
        <v>26</v>
      </c>
      <c r="B87" s="2" t="s">
        <v>136</v>
      </c>
      <c r="C87" s="2">
        <v>30764</v>
      </c>
      <c r="D87" s="2" t="s">
        <v>27</v>
      </c>
      <c r="E87" s="2" t="s">
        <v>133</v>
      </c>
      <c r="F87" s="2" t="s">
        <v>29</v>
      </c>
      <c r="G87" s="2" t="s">
        <v>30</v>
      </c>
      <c r="H87" s="3">
        <v>44708</v>
      </c>
      <c r="I87" s="3">
        <v>44708</v>
      </c>
      <c r="J87" s="2" t="s">
        <v>31</v>
      </c>
      <c r="K87" s="2" t="s">
        <v>134</v>
      </c>
      <c r="L87" s="2" t="s">
        <v>135</v>
      </c>
      <c r="M87" s="2" t="s">
        <v>34</v>
      </c>
      <c r="N87" s="2" t="s">
        <v>40</v>
      </c>
      <c r="O87" s="2" t="s">
        <v>41</v>
      </c>
      <c r="P87" s="8">
        <v>5057949126365</v>
      </c>
      <c r="Q87" s="2" t="s">
        <v>30</v>
      </c>
      <c r="R87" s="2" t="s">
        <v>30</v>
      </c>
      <c r="S87" s="4" t="e">
        <f>VLOOKUP(P87,[2]StockItem!$R:$S,2,0)</f>
        <v>#N/A</v>
      </c>
      <c r="T87" s="2">
        <v>3</v>
      </c>
      <c r="U87" s="2">
        <v>3</v>
      </c>
      <c r="V87" s="2">
        <v>54.54</v>
      </c>
      <c r="W87" s="2">
        <v>163.62</v>
      </c>
      <c r="X87" s="2" t="s">
        <v>37</v>
      </c>
      <c r="Y87" s="2" t="s">
        <v>38</v>
      </c>
      <c r="Z87" s="2" t="s">
        <v>39</v>
      </c>
      <c r="AA87" s="2">
        <v>30</v>
      </c>
      <c r="AB87" s="2">
        <v>20</v>
      </c>
    </row>
    <row r="88" spans="1:28" s="2" customFormat="1">
      <c r="A88" s="2" t="s">
        <v>26</v>
      </c>
      <c r="B88" s="2" t="s">
        <v>136</v>
      </c>
      <c r="C88" s="2">
        <v>30764</v>
      </c>
      <c r="D88" s="2" t="s">
        <v>27</v>
      </c>
      <c r="E88" s="2" t="s">
        <v>133</v>
      </c>
      <c r="F88" s="2" t="s">
        <v>29</v>
      </c>
      <c r="G88" s="2" t="s">
        <v>30</v>
      </c>
      <c r="H88" s="3">
        <v>44708</v>
      </c>
      <c r="I88" s="3">
        <v>44708</v>
      </c>
      <c r="J88" s="2" t="s">
        <v>31</v>
      </c>
      <c r="K88" s="2" t="s">
        <v>134</v>
      </c>
      <c r="L88" s="2" t="s">
        <v>135</v>
      </c>
      <c r="M88" s="2" t="s">
        <v>34</v>
      </c>
      <c r="N88" s="2" t="s">
        <v>42</v>
      </c>
      <c r="O88" s="2" t="s">
        <v>43</v>
      </c>
      <c r="P88" s="8">
        <v>5057949126372</v>
      </c>
      <c r="Q88" s="2" t="s">
        <v>30</v>
      </c>
      <c r="R88" s="2" t="s">
        <v>30</v>
      </c>
      <c r="S88" s="4" t="e">
        <f>VLOOKUP(P88,[2]StockItem!$R:$S,2,0)</f>
        <v>#N/A</v>
      </c>
      <c r="T88" s="2">
        <v>4</v>
      </c>
      <c r="U88" s="2">
        <v>4</v>
      </c>
      <c r="V88" s="2">
        <v>54.54</v>
      </c>
      <c r="W88" s="2">
        <v>218.16</v>
      </c>
      <c r="X88" s="2" t="s">
        <v>37</v>
      </c>
      <c r="Y88" s="2" t="s">
        <v>38</v>
      </c>
      <c r="Z88" s="2" t="s">
        <v>39</v>
      </c>
      <c r="AA88" s="2">
        <v>30</v>
      </c>
      <c r="AB88" s="2">
        <v>20</v>
      </c>
    </row>
    <row r="89" spans="1:28" s="2" customFormat="1">
      <c r="A89" s="2" t="s">
        <v>26</v>
      </c>
      <c r="B89" s="2" t="s">
        <v>136</v>
      </c>
      <c r="C89" s="2">
        <v>30764</v>
      </c>
      <c r="D89" s="2" t="s">
        <v>27</v>
      </c>
      <c r="E89" s="2" t="s">
        <v>133</v>
      </c>
      <c r="F89" s="2" t="s">
        <v>29</v>
      </c>
      <c r="G89" s="2" t="s">
        <v>30</v>
      </c>
      <c r="H89" s="3">
        <v>44708</v>
      </c>
      <c r="I89" s="3">
        <v>44708</v>
      </c>
      <c r="J89" s="2" t="s">
        <v>53</v>
      </c>
      <c r="K89" s="2" t="s">
        <v>134</v>
      </c>
      <c r="L89" s="2" t="s">
        <v>135</v>
      </c>
      <c r="M89" s="2" t="s">
        <v>54</v>
      </c>
      <c r="N89" s="2" t="s">
        <v>55</v>
      </c>
      <c r="O89" s="2" t="s">
        <v>56</v>
      </c>
      <c r="P89" s="8">
        <v>5057091450127</v>
      </c>
      <c r="Q89" s="2" t="s">
        <v>58</v>
      </c>
      <c r="R89" s="2" t="s">
        <v>30</v>
      </c>
      <c r="S89" s="4" t="str">
        <f>VLOOKUP(P89,[2]StockItem!$R:$S,2,0)</f>
        <v>XL</v>
      </c>
      <c r="T89" s="2">
        <v>6</v>
      </c>
      <c r="U89" s="2">
        <v>6</v>
      </c>
      <c r="V89" s="2">
        <v>3.45</v>
      </c>
      <c r="W89" s="2">
        <v>20.7</v>
      </c>
      <c r="X89" s="2" t="s">
        <v>37</v>
      </c>
      <c r="Y89" s="2" t="s">
        <v>38</v>
      </c>
      <c r="Z89" s="2" t="s">
        <v>39</v>
      </c>
      <c r="AA89" s="2">
        <v>25</v>
      </c>
      <c r="AB89" s="2">
        <v>20</v>
      </c>
    </row>
    <row r="90" spans="1:28" s="2" customFormat="1">
      <c r="A90" s="2" t="s">
        <v>26</v>
      </c>
      <c r="B90" s="2" t="s">
        <v>136</v>
      </c>
      <c r="C90" s="2">
        <v>30764</v>
      </c>
      <c r="D90" s="2" t="s">
        <v>27</v>
      </c>
      <c r="E90" s="2" t="s">
        <v>133</v>
      </c>
      <c r="F90" s="2" t="s">
        <v>29</v>
      </c>
      <c r="G90" s="2" t="s">
        <v>30</v>
      </c>
      <c r="H90" s="3">
        <v>44708</v>
      </c>
      <c r="I90" s="3">
        <v>44708</v>
      </c>
      <c r="J90" s="2" t="s">
        <v>53</v>
      </c>
      <c r="K90" s="2" t="s">
        <v>134</v>
      </c>
      <c r="L90" s="2" t="s">
        <v>135</v>
      </c>
      <c r="M90" s="2" t="s">
        <v>54</v>
      </c>
      <c r="N90" s="2" t="s">
        <v>55</v>
      </c>
      <c r="O90" s="2" t="s">
        <v>56</v>
      </c>
      <c r="P90" s="8">
        <v>5057091450134</v>
      </c>
      <c r="Q90" s="2" t="s">
        <v>58</v>
      </c>
      <c r="R90" s="2" t="s">
        <v>30</v>
      </c>
      <c r="S90" s="4" t="str">
        <f>VLOOKUP(P90,[2]StockItem!$R:$S,2,0)</f>
        <v>XXL</v>
      </c>
      <c r="T90" s="2">
        <v>4</v>
      </c>
      <c r="U90" s="2">
        <v>4</v>
      </c>
      <c r="V90" s="2">
        <v>3.45</v>
      </c>
      <c r="W90" s="2">
        <v>13.8</v>
      </c>
      <c r="X90" s="2" t="s">
        <v>37</v>
      </c>
      <c r="Y90" s="2" t="s">
        <v>38</v>
      </c>
      <c r="Z90" s="2" t="s">
        <v>39</v>
      </c>
      <c r="AA90" s="2">
        <v>25</v>
      </c>
      <c r="AB90" s="2">
        <v>20</v>
      </c>
    </row>
    <row r="91" spans="1:28" s="2" customFormat="1">
      <c r="A91" s="2" t="s">
        <v>26</v>
      </c>
      <c r="B91" s="2" t="s">
        <v>136</v>
      </c>
      <c r="C91" s="2">
        <v>30764</v>
      </c>
      <c r="D91" s="2" t="s">
        <v>27</v>
      </c>
      <c r="E91" s="2" t="s">
        <v>133</v>
      </c>
      <c r="F91" s="2" t="s">
        <v>29</v>
      </c>
      <c r="G91" s="2" t="s">
        <v>30</v>
      </c>
      <c r="H91" s="3">
        <v>44708</v>
      </c>
      <c r="I91" s="3">
        <v>44708</v>
      </c>
      <c r="J91" s="2" t="s">
        <v>53</v>
      </c>
      <c r="K91" s="2" t="s">
        <v>134</v>
      </c>
      <c r="L91" s="2" t="s">
        <v>135</v>
      </c>
      <c r="M91" s="2" t="s">
        <v>54</v>
      </c>
      <c r="N91" s="2" t="s">
        <v>55</v>
      </c>
      <c r="O91" s="2" t="s">
        <v>56</v>
      </c>
      <c r="P91" s="8">
        <v>5057091450066</v>
      </c>
      <c r="Q91" s="2" t="s">
        <v>57</v>
      </c>
      <c r="R91" s="2" t="s">
        <v>30</v>
      </c>
      <c r="S91" s="4" t="str">
        <f>VLOOKUP(P91,[2]StockItem!$R:$S,2,0)</f>
        <v>M</v>
      </c>
      <c r="T91" s="2">
        <v>6</v>
      </c>
      <c r="U91" s="2">
        <v>6</v>
      </c>
      <c r="V91" s="2">
        <v>3.45</v>
      </c>
      <c r="W91" s="2">
        <v>20.7</v>
      </c>
      <c r="X91" s="2" t="s">
        <v>37</v>
      </c>
      <c r="Y91" s="2" t="s">
        <v>38</v>
      </c>
      <c r="Z91" s="2" t="s">
        <v>39</v>
      </c>
      <c r="AA91" s="2">
        <v>25</v>
      </c>
      <c r="AB91" s="2">
        <v>20</v>
      </c>
    </row>
    <row r="92" spans="1:28" s="2" customFormat="1">
      <c r="A92" s="2" t="s">
        <v>26</v>
      </c>
      <c r="B92" s="2" t="s">
        <v>136</v>
      </c>
      <c r="C92" s="2">
        <v>30764</v>
      </c>
      <c r="D92" s="2" t="s">
        <v>27</v>
      </c>
      <c r="E92" s="2" t="s">
        <v>133</v>
      </c>
      <c r="F92" s="2" t="s">
        <v>29</v>
      </c>
      <c r="G92" s="2" t="s">
        <v>30</v>
      </c>
      <c r="H92" s="3">
        <v>44708</v>
      </c>
      <c r="I92" s="3">
        <v>44708</v>
      </c>
      <c r="J92" s="2" t="s">
        <v>53</v>
      </c>
      <c r="K92" s="2" t="s">
        <v>134</v>
      </c>
      <c r="L92" s="2" t="s">
        <v>135</v>
      </c>
      <c r="M92" s="2" t="s">
        <v>54</v>
      </c>
      <c r="N92" s="2" t="s">
        <v>55</v>
      </c>
      <c r="O92" s="2" t="s">
        <v>56</v>
      </c>
      <c r="P92" s="8">
        <v>5057091450073</v>
      </c>
      <c r="Q92" s="2" t="s">
        <v>57</v>
      </c>
      <c r="R92" s="2" t="s">
        <v>30</v>
      </c>
      <c r="S92" s="4" t="str">
        <f>VLOOKUP(P92,[2]StockItem!$R:$S,2,0)</f>
        <v>L</v>
      </c>
      <c r="T92" s="2">
        <v>8</v>
      </c>
      <c r="U92" s="2">
        <v>8</v>
      </c>
      <c r="V92" s="2">
        <v>3.45</v>
      </c>
      <c r="W92" s="2">
        <v>27.6</v>
      </c>
      <c r="X92" s="2" t="s">
        <v>37</v>
      </c>
      <c r="Y92" s="2" t="s">
        <v>38</v>
      </c>
      <c r="Z92" s="2" t="s">
        <v>39</v>
      </c>
      <c r="AA92" s="2">
        <v>25</v>
      </c>
      <c r="AB92" s="2">
        <v>20</v>
      </c>
    </row>
    <row r="93" spans="1:28" s="2" customFormat="1">
      <c r="A93" s="2" t="s">
        <v>26</v>
      </c>
      <c r="B93" s="2" t="s">
        <v>136</v>
      </c>
      <c r="C93" s="2">
        <v>30764</v>
      </c>
      <c r="D93" s="2" t="s">
        <v>27</v>
      </c>
      <c r="E93" s="2" t="s">
        <v>133</v>
      </c>
      <c r="F93" s="2" t="s">
        <v>29</v>
      </c>
      <c r="G93" s="2" t="s">
        <v>30</v>
      </c>
      <c r="H93" s="3">
        <v>44708</v>
      </c>
      <c r="I93" s="3">
        <v>44708</v>
      </c>
      <c r="J93" s="2" t="s">
        <v>53</v>
      </c>
      <c r="K93" s="2" t="s">
        <v>134</v>
      </c>
      <c r="L93" s="2" t="s">
        <v>135</v>
      </c>
      <c r="M93" s="2" t="s">
        <v>54</v>
      </c>
      <c r="N93" s="2" t="s">
        <v>55</v>
      </c>
      <c r="O93" s="2" t="s">
        <v>56</v>
      </c>
      <c r="P93" s="8">
        <v>5057091450080</v>
      </c>
      <c r="Q93" s="2" t="s">
        <v>57</v>
      </c>
      <c r="R93" s="2" t="s">
        <v>30</v>
      </c>
      <c r="S93" s="4" t="str">
        <f>VLOOKUP(P93,[2]StockItem!$R:$S,2,0)</f>
        <v>XL</v>
      </c>
      <c r="T93" s="2">
        <v>6</v>
      </c>
      <c r="U93" s="2">
        <v>6</v>
      </c>
      <c r="V93" s="2">
        <v>3.45</v>
      </c>
      <c r="W93" s="2">
        <v>20.7</v>
      </c>
      <c r="X93" s="2" t="s">
        <v>37</v>
      </c>
      <c r="Y93" s="2" t="s">
        <v>38</v>
      </c>
      <c r="Z93" s="2" t="s">
        <v>39</v>
      </c>
      <c r="AA93" s="2">
        <v>25</v>
      </c>
      <c r="AB93" s="2">
        <v>20</v>
      </c>
    </row>
    <row r="94" spans="1:28" s="2" customFormat="1">
      <c r="A94" s="2" t="s">
        <v>26</v>
      </c>
      <c r="B94" s="2" t="s">
        <v>136</v>
      </c>
      <c r="C94" s="2">
        <v>30764</v>
      </c>
      <c r="D94" s="2" t="s">
        <v>27</v>
      </c>
      <c r="E94" s="2" t="s">
        <v>133</v>
      </c>
      <c r="F94" s="2" t="s">
        <v>29</v>
      </c>
      <c r="G94" s="2" t="s">
        <v>30</v>
      </c>
      <c r="H94" s="3">
        <v>44708</v>
      </c>
      <c r="I94" s="3">
        <v>44708</v>
      </c>
      <c r="J94" s="2" t="s">
        <v>53</v>
      </c>
      <c r="K94" s="2" t="s">
        <v>134</v>
      </c>
      <c r="L94" s="2" t="s">
        <v>135</v>
      </c>
      <c r="M94" s="2" t="s">
        <v>54</v>
      </c>
      <c r="N94" s="2" t="s">
        <v>55</v>
      </c>
      <c r="O94" s="2" t="s">
        <v>56</v>
      </c>
      <c r="P94" s="8">
        <v>5057091450097</v>
      </c>
      <c r="Q94" s="2" t="s">
        <v>57</v>
      </c>
      <c r="R94" s="2" t="s">
        <v>30</v>
      </c>
      <c r="S94" s="4" t="str">
        <f>VLOOKUP(P94,[2]StockItem!$R:$S,2,0)</f>
        <v>XXL</v>
      </c>
      <c r="T94" s="2">
        <v>4</v>
      </c>
      <c r="U94" s="2">
        <v>4</v>
      </c>
      <c r="V94" s="2">
        <v>3.45</v>
      </c>
      <c r="W94" s="2">
        <v>13.8</v>
      </c>
      <c r="X94" s="2" t="s">
        <v>37</v>
      </c>
      <c r="Y94" s="2" t="s">
        <v>38</v>
      </c>
      <c r="Z94" s="2" t="s">
        <v>39</v>
      </c>
      <c r="AA94" s="2">
        <v>25</v>
      </c>
      <c r="AB94" s="2">
        <v>20</v>
      </c>
    </row>
    <row r="95" spans="1:28" s="2" customFormat="1">
      <c r="A95" s="2" t="s">
        <v>26</v>
      </c>
      <c r="B95" s="2" t="s">
        <v>136</v>
      </c>
      <c r="C95" s="2">
        <v>30764</v>
      </c>
      <c r="D95" s="2" t="s">
        <v>27</v>
      </c>
      <c r="E95" s="2" t="s">
        <v>133</v>
      </c>
      <c r="F95" s="2" t="s">
        <v>29</v>
      </c>
      <c r="G95" s="2" t="s">
        <v>30</v>
      </c>
      <c r="H95" s="3">
        <v>44708</v>
      </c>
      <c r="I95" s="3">
        <v>44708</v>
      </c>
      <c r="J95" s="2" t="s">
        <v>53</v>
      </c>
      <c r="K95" s="2" t="s">
        <v>134</v>
      </c>
      <c r="L95" s="2" t="s">
        <v>135</v>
      </c>
      <c r="M95" s="2" t="s">
        <v>54</v>
      </c>
      <c r="N95" s="2" t="s">
        <v>55</v>
      </c>
      <c r="O95" s="2" t="s">
        <v>56</v>
      </c>
      <c r="P95" s="8">
        <v>5057091450103</v>
      </c>
      <c r="Q95" s="2" t="s">
        <v>58</v>
      </c>
      <c r="R95" s="2" t="s">
        <v>30</v>
      </c>
      <c r="S95" s="4" t="str">
        <f>VLOOKUP(P95,[2]StockItem!$R:$S,2,0)</f>
        <v>M</v>
      </c>
      <c r="T95" s="2">
        <v>6</v>
      </c>
      <c r="U95" s="2">
        <v>6</v>
      </c>
      <c r="V95" s="2">
        <v>3.45</v>
      </c>
      <c r="W95" s="2">
        <v>20.7</v>
      </c>
      <c r="X95" s="2" t="s">
        <v>37</v>
      </c>
      <c r="Y95" s="2" t="s">
        <v>38</v>
      </c>
      <c r="Z95" s="2" t="s">
        <v>39</v>
      </c>
      <c r="AA95" s="2">
        <v>25</v>
      </c>
      <c r="AB95" s="2">
        <v>20</v>
      </c>
    </row>
    <row r="96" spans="1:28" s="2" customFormat="1">
      <c r="A96" s="2" t="s">
        <v>26</v>
      </c>
      <c r="B96" s="2" t="s">
        <v>136</v>
      </c>
      <c r="C96" s="2">
        <v>30764</v>
      </c>
      <c r="D96" s="2" t="s">
        <v>27</v>
      </c>
      <c r="E96" s="2" t="s">
        <v>133</v>
      </c>
      <c r="F96" s="2" t="s">
        <v>29</v>
      </c>
      <c r="G96" s="2" t="s">
        <v>30</v>
      </c>
      <c r="H96" s="3">
        <v>44708</v>
      </c>
      <c r="I96" s="3">
        <v>44708</v>
      </c>
      <c r="J96" s="2" t="s">
        <v>53</v>
      </c>
      <c r="K96" s="2" t="s">
        <v>134</v>
      </c>
      <c r="L96" s="2" t="s">
        <v>135</v>
      </c>
      <c r="M96" s="2" t="s">
        <v>54</v>
      </c>
      <c r="N96" s="2" t="s">
        <v>55</v>
      </c>
      <c r="O96" s="2" t="s">
        <v>56</v>
      </c>
      <c r="P96" s="8">
        <v>5057091450110</v>
      </c>
      <c r="Q96" s="2" t="s">
        <v>58</v>
      </c>
      <c r="R96" s="2" t="s">
        <v>30</v>
      </c>
      <c r="S96" s="4" t="str">
        <f>VLOOKUP(P96,[2]StockItem!$R:$S,2,0)</f>
        <v>L</v>
      </c>
      <c r="T96" s="2">
        <v>8</v>
      </c>
      <c r="U96" s="2">
        <v>8</v>
      </c>
      <c r="V96" s="2">
        <v>3.45</v>
      </c>
      <c r="W96" s="2">
        <v>27.6</v>
      </c>
      <c r="X96" s="2" t="s">
        <v>37</v>
      </c>
      <c r="Y96" s="2" t="s">
        <v>38</v>
      </c>
      <c r="Z96" s="2" t="s">
        <v>39</v>
      </c>
      <c r="AA96" s="2">
        <v>25</v>
      </c>
      <c r="AB96" s="2">
        <v>20</v>
      </c>
    </row>
    <row r="97" spans="1:28" s="4" customFormat="1">
      <c r="A97" s="4" t="s">
        <v>26</v>
      </c>
      <c r="B97" s="4" t="s">
        <v>136</v>
      </c>
      <c r="C97" s="4">
        <v>30764</v>
      </c>
      <c r="D97" s="4" t="s">
        <v>27</v>
      </c>
      <c r="E97" s="4" t="s">
        <v>133</v>
      </c>
      <c r="F97" s="4" t="s">
        <v>29</v>
      </c>
      <c r="G97" s="4" t="s">
        <v>30</v>
      </c>
      <c r="H97" s="5">
        <v>44708</v>
      </c>
      <c r="I97" s="5">
        <v>44708</v>
      </c>
      <c r="J97" s="4" t="s">
        <v>59</v>
      </c>
      <c r="K97" s="4" t="s">
        <v>134</v>
      </c>
      <c r="L97" s="4" t="s">
        <v>135</v>
      </c>
      <c r="M97" s="4" t="s">
        <v>60</v>
      </c>
      <c r="N97" s="4" t="s">
        <v>61</v>
      </c>
      <c r="O97" s="4" t="s">
        <v>62</v>
      </c>
      <c r="P97" s="6">
        <v>5057091438941</v>
      </c>
      <c r="Q97" s="4" t="s">
        <v>74</v>
      </c>
      <c r="R97" s="4" t="str">
        <f>VLOOKUP(Q97,[1]Planning!$L:$M, 2,0)</f>
        <v>NAVY</v>
      </c>
      <c r="S97" s="4" t="e">
        <f>VLOOKUP(P97,[2]StockItem!$R:$S,2,0)</f>
        <v>#N/A</v>
      </c>
      <c r="T97" s="4">
        <v>1</v>
      </c>
      <c r="U97" s="4">
        <v>1</v>
      </c>
      <c r="V97" s="4">
        <v>18</v>
      </c>
      <c r="W97" s="4">
        <v>18</v>
      </c>
      <c r="X97" s="4" t="s">
        <v>37</v>
      </c>
      <c r="Y97" s="4" t="s">
        <v>38</v>
      </c>
      <c r="Z97" s="4" t="s">
        <v>39</v>
      </c>
      <c r="AA97" s="4">
        <v>9.99</v>
      </c>
      <c r="AB97" s="4">
        <v>6.99</v>
      </c>
    </row>
    <row r="98" spans="1:28" s="4" customFormat="1">
      <c r="A98" s="4" t="s">
        <v>26</v>
      </c>
      <c r="B98" s="4" t="s">
        <v>136</v>
      </c>
      <c r="C98" s="4">
        <v>30764</v>
      </c>
      <c r="D98" s="4" t="s">
        <v>27</v>
      </c>
      <c r="E98" s="4" t="s">
        <v>133</v>
      </c>
      <c r="F98" s="4" t="s">
        <v>29</v>
      </c>
      <c r="G98" s="4" t="s">
        <v>30</v>
      </c>
      <c r="H98" s="5">
        <v>44708</v>
      </c>
      <c r="I98" s="5">
        <v>44708</v>
      </c>
      <c r="J98" s="4" t="s">
        <v>59</v>
      </c>
      <c r="K98" s="4" t="s">
        <v>134</v>
      </c>
      <c r="L98" s="4" t="s">
        <v>135</v>
      </c>
      <c r="M98" s="4" t="s">
        <v>107</v>
      </c>
      <c r="N98" s="4" t="s">
        <v>108</v>
      </c>
      <c r="O98" s="4" t="s">
        <v>109</v>
      </c>
      <c r="P98" s="6">
        <v>5057091439023</v>
      </c>
      <c r="Q98" s="4" t="s">
        <v>74</v>
      </c>
      <c r="R98" s="4" t="str">
        <f>VLOOKUP(Q98,[1]Planning!$L:$M, 2,0)</f>
        <v>NAVY</v>
      </c>
      <c r="S98" s="4" t="e">
        <f>VLOOKUP(P98,[2]StockItem!$R:$S,2,0)</f>
        <v>#N/A</v>
      </c>
      <c r="T98" s="4">
        <v>1</v>
      </c>
      <c r="U98" s="4">
        <v>1</v>
      </c>
      <c r="V98" s="4">
        <v>33.9</v>
      </c>
      <c r="W98" s="4">
        <v>33.9</v>
      </c>
      <c r="X98" s="4" t="s">
        <v>37</v>
      </c>
      <c r="Y98" s="4" t="s">
        <v>38</v>
      </c>
      <c r="Z98" s="4" t="s">
        <v>39</v>
      </c>
      <c r="AA98" s="4">
        <v>16.989999999999998</v>
      </c>
      <c r="AB98" s="4">
        <v>12.99</v>
      </c>
    </row>
    <row r="99" spans="1:28" s="2" customFormat="1">
      <c r="A99" s="2" t="s">
        <v>26</v>
      </c>
      <c r="B99" s="2" t="s">
        <v>145</v>
      </c>
      <c r="C99" s="2">
        <v>30763</v>
      </c>
      <c r="D99" s="2" t="s">
        <v>27</v>
      </c>
      <c r="E99" s="2" t="s">
        <v>137</v>
      </c>
      <c r="F99" s="2" t="s">
        <v>29</v>
      </c>
      <c r="G99" s="2" t="s">
        <v>30</v>
      </c>
      <c r="H99" s="3">
        <v>44708</v>
      </c>
      <c r="I99" s="3">
        <v>44708</v>
      </c>
      <c r="J99" s="2" t="s">
        <v>31</v>
      </c>
      <c r="K99" s="2" t="s">
        <v>138</v>
      </c>
      <c r="L99" s="2" t="s">
        <v>139</v>
      </c>
      <c r="M99" s="2" t="s">
        <v>34</v>
      </c>
      <c r="N99" s="2" t="s">
        <v>35</v>
      </c>
      <c r="O99" s="2" t="s">
        <v>36</v>
      </c>
      <c r="P99" s="8">
        <v>5057949126358</v>
      </c>
      <c r="Q99" s="2" t="s">
        <v>30</v>
      </c>
      <c r="R99" s="2" t="s">
        <v>30</v>
      </c>
      <c r="S99" s="4" t="e">
        <f>VLOOKUP(P99,[2]StockItem!$R:$S,2,0)</f>
        <v>#N/A</v>
      </c>
      <c r="T99" s="2">
        <v>2</v>
      </c>
      <c r="U99" s="2">
        <v>2</v>
      </c>
      <c r="V99" s="2">
        <v>54.54</v>
      </c>
      <c r="W99" s="2">
        <v>109.08</v>
      </c>
      <c r="X99" s="2" t="s">
        <v>37</v>
      </c>
      <c r="Y99" s="2" t="s">
        <v>38</v>
      </c>
      <c r="Z99" s="2" t="s">
        <v>39</v>
      </c>
      <c r="AA99" s="2">
        <v>30</v>
      </c>
      <c r="AB99" s="2">
        <v>20</v>
      </c>
    </row>
    <row r="100" spans="1:28" s="4" customFormat="1">
      <c r="A100" s="4" t="s">
        <v>26</v>
      </c>
      <c r="B100" s="4" t="s">
        <v>145</v>
      </c>
      <c r="C100" s="4">
        <v>30763</v>
      </c>
      <c r="D100" s="4" t="s">
        <v>27</v>
      </c>
      <c r="E100" s="4" t="s">
        <v>137</v>
      </c>
      <c r="F100" s="4" t="s">
        <v>29</v>
      </c>
      <c r="G100" s="4" t="s">
        <v>30</v>
      </c>
      <c r="H100" s="5">
        <v>44708</v>
      </c>
      <c r="I100" s="5">
        <v>44708</v>
      </c>
      <c r="J100" s="4" t="s">
        <v>31</v>
      </c>
      <c r="K100" s="4" t="s">
        <v>138</v>
      </c>
      <c r="L100" s="4" t="s">
        <v>139</v>
      </c>
      <c r="M100" s="4" t="s">
        <v>48</v>
      </c>
      <c r="N100" s="4" t="s">
        <v>140</v>
      </c>
      <c r="O100" s="4" t="s">
        <v>141</v>
      </c>
      <c r="P100" s="6">
        <v>5057949222401</v>
      </c>
      <c r="Q100" s="4" t="s">
        <v>143</v>
      </c>
      <c r="R100" s="4" t="s">
        <v>162</v>
      </c>
      <c r="S100" s="4" t="e">
        <f>VLOOKUP(P100,[2]StockItem!$R:$S,2,0)</f>
        <v>#N/A</v>
      </c>
      <c r="T100" s="4">
        <v>1</v>
      </c>
      <c r="U100" s="4">
        <v>1</v>
      </c>
      <c r="V100" s="4">
        <v>54</v>
      </c>
      <c r="W100" s="4">
        <v>54</v>
      </c>
      <c r="X100" s="4" t="s">
        <v>37</v>
      </c>
      <c r="Y100" s="4" t="s">
        <v>38</v>
      </c>
      <c r="Z100" s="4" t="s">
        <v>39</v>
      </c>
      <c r="AA100" s="4">
        <v>30</v>
      </c>
      <c r="AB100" s="4">
        <v>20</v>
      </c>
    </row>
    <row r="101" spans="1:28" s="2" customFormat="1">
      <c r="A101" s="2" t="s">
        <v>26</v>
      </c>
      <c r="B101" s="2" t="s">
        <v>145</v>
      </c>
      <c r="C101" s="2">
        <v>30763</v>
      </c>
      <c r="D101" s="2" t="s">
        <v>27</v>
      </c>
      <c r="E101" s="2" t="s">
        <v>137</v>
      </c>
      <c r="F101" s="2" t="s">
        <v>29</v>
      </c>
      <c r="G101" s="2" t="s">
        <v>30</v>
      </c>
      <c r="H101" s="3">
        <v>44708</v>
      </c>
      <c r="I101" s="3">
        <v>44708</v>
      </c>
      <c r="J101" s="2" t="s">
        <v>53</v>
      </c>
      <c r="K101" s="2" t="s">
        <v>138</v>
      </c>
      <c r="L101" s="2" t="s">
        <v>139</v>
      </c>
      <c r="M101" s="2" t="s">
        <v>54</v>
      </c>
      <c r="N101" s="2" t="s">
        <v>55</v>
      </c>
      <c r="O101" s="2" t="s">
        <v>56</v>
      </c>
      <c r="P101" s="8">
        <v>5057091450066</v>
      </c>
      <c r="Q101" s="2" t="s">
        <v>57</v>
      </c>
      <c r="R101" s="2" t="s">
        <v>30</v>
      </c>
      <c r="S101" s="4" t="str">
        <f>VLOOKUP(P101,[2]StockItem!$R:$S,2,0)</f>
        <v>M</v>
      </c>
      <c r="T101" s="2">
        <v>6</v>
      </c>
      <c r="U101" s="2">
        <v>6</v>
      </c>
      <c r="V101" s="2">
        <v>3.45</v>
      </c>
      <c r="W101" s="2">
        <v>20.7</v>
      </c>
      <c r="X101" s="2" t="s">
        <v>37</v>
      </c>
      <c r="Y101" s="2" t="s">
        <v>38</v>
      </c>
      <c r="Z101" s="2" t="s">
        <v>39</v>
      </c>
      <c r="AA101" s="2">
        <v>25</v>
      </c>
      <c r="AB101" s="2">
        <v>20</v>
      </c>
    </row>
    <row r="102" spans="1:28" s="2" customFormat="1">
      <c r="A102" s="2" t="s">
        <v>26</v>
      </c>
      <c r="B102" s="2" t="s">
        <v>145</v>
      </c>
      <c r="C102" s="2">
        <v>30763</v>
      </c>
      <c r="D102" s="2" t="s">
        <v>27</v>
      </c>
      <c r="E102" s="2" t="s">
        <v>137</v>
      </c>
      <c r="F102" s="2" t="s">
        <v>29</v>
      </c>
      <c r="G102" s="2" t="s">
        <v>30</v>
      </c>
      <c r="H102" s="3">
        <v>44708</v>
      </c>
      <c r="I102" s="3">
        <v>44708</v>
      </c>
      <c r="J102" s="2" t="s">
        <v>53</v>
      </c>
      <c r="K102" s="2" t="s">
        <v>138</v>
      </c>
      <c r="L102" s="2" t="s">
        <v>139</v>
      </c>
      <c r="M102" s="2" t="s">
        <v>54</v>
      </c>
      <c r="N102" s="2" t="s">
        <v>55</v>
      </c>
      <c r="O102" s="2" t="s">
        <v>56</v>
      </c>
      <c r="P102" s="8">
        <v>5057091450073</v>
      </c>
      <c r="Q102" s="2" t="s">
        <v>57</v>
      </c>
      <c r="R102" s="2" t="s">
        <v>30</v>
      </c>
      <c r="S102" s="4" t="str">
        <f>VLOOKUP(P102,[2]StockItem!$R:$S,2,0)</f>
        <v>L</v>
      </c>
      <c r="T102" s="2">
        <v>8</v>
      </c>
      <c r="U102" s="2">
        <v>8</v>
      </c>
      <c r="V102" s="2">
        <v>3.45</v>
      </c>
      <c r="W102" s="2">
        <v>27.6</v>
      </c>
      <c r="X102" s="2" t="s">
        <v>37</v>
      </c>
      <c r="Y102" s="2" t="s">
        <v>38</v>
      </c>
      <c r="Z102" s="2" t="s">
        <v>39</v>
      </c>
      <c r="AA102" s="2">
        <v>25</v>
      </c>
      <c r="AB102" s="2">
        <v>20</v>
      </c>
    </row>
    <row r="103" spans="1:28" s="2" customFormat="1">
      <c r="A103" s="2" t="s">
        <v>26</v>
      </c>
      <c r="B103" s="2" t="s">
        <v>145</v>
      </c>
      <c r="C103" s="2">
        <v>30763</v>
      </c>
      <c r="D103" s="2" t="s">
        <v>27</v>
      </c>
      <c r="E103" s="2" t="s">
        <v>137</v>
      </c>
      <c r="F103" s="2" t="s">
        <v>29</v>
      </c>
      <c r="G103" s="2" t="s">
        <v>30</v>
      </c>
      <c r="H103" s="3">
        <v>44708</v>
      </c>
      <c r="I103" s="3">
        <v>44708</v>
      </c>
      <c r="J103" s="2" t="s">
        <v>53</v>
      </c>
      <c r="K103" s="2" t="s">
        <v>138</v>
      </c>
      <c r="L103" s="2" t="s">
        <v>139</v>
      </c>
      <c r="M103" s="2" t="s">
        <v>54</v>
      </c>
      <c r="N103" s="2" t="s">
        <v>55</v>
      </c>
      <c r="O103" s="2" t="s">
        <v>56</v>
      </c>
      <c r="P103" s="8">
        <v>5057091450080</v>
      </c>
      <c r="Q103" s="2" t="s">
        <v>57</v>
      </c>
      <c r="R103" s="2" t="s">
        <v>30</v>
      </c>
      <c r="S103" s="4" t="str">
        <f>VLOOKUP(P103,[2]StockItem!$R:$S,2,0)</f>
        <v>XL</v>
      </c>
      <c r="T103" s="2">
        <v>6</v>
      </c>
      <c r="U103" s="2">
        <v>6</v>
      </c>
      <c r="V103" s="2">
        <v>3.45</v>
      </c>
      <c r="W103" s="2">
        <v>20.7</v>
      </c>
      <c r="X103" s="2" t="s">
        <v>37</v>
      </c>
      <c r="Y103" s="2" t="s">
        <v>38</v>
      </c>
      <c r="Z103" s="2" t="s">
        <v>39</v>
      </c>
      <c r="AA103" s="2">
        <v>25</v>
      </c>
      <c r="AB103" s="2">
        <v>20</v>
      </c>
    </row>
    <row r="104" spans="1:28" s="2" customFormat="1">
      <c r="A104" s="2" t="s">
        <v>26</v>
      </c>
      <c r="B104" s="2" t="s">
        <v>145</v>
      </c>
      <c r="C104" s="2">
        <v>30763</v>
      </c>
      <c r="D104" s="2" t="s">
        <v>27</v>
      </c>
      <c r="E104" s="2" t="s">
        <v>137</v>
      </c>
      <c r="F104" s="2" t="s">
        <v>29</v>
      </c>
      <c r="G104" s="2" t="s">
        <v>30</v>
      </c>
      <c r="H104" s="3">
        <v>44708</v>
      </c>
      <c r="I104" s="3">
        <v>44708</v>
      </c>
      <c r="J104" s="2" t="s">
        <v>53</v>
      </c>
      <c r="K104" s="2" t="s">
        <v>138</v>
      </c>
      <c r="L104" s="2" t="s">
        <v>139</v>
      </c>
      <c r="M104" s="2" t="s">
        <v>54</v>
      </c>
      <c r="N104" s="2" t="s">
        <v>55</v>
      </c>
      <c r="O104" s="2" t="s">
        <v>56</v>
      </c>
      <c r="P104" s="8">
        <v>5057091450097</v>
      </c>
      <c r="Q104" s="2" t="s">
        <v>57</v>
      </c>
      <c r="R104" s="2" t="s">
        <v>30</v>
      </c>
      <c r="S104" s="4" t="str">
        <f>VLOOKUP(P104,[2]StockItem!$R:$S,2,0)</f>
        <v>XXL</v>
      </c>
      <c r="T104" s="2">
        <v>4</v>
      </c>
      <c r="U104" s="2">
        <v>4</v>
      </c>
      <c r="V104" s="2">
        <v>3.45</v>
      </c>
      <c r="W104" s="2">
        <v>13.8</v>
      </c>
      <c r="X104" s="2" t="s">
        <v>37</v>
      </c>
      <c r="Y104" s="2" t="s">
        <v>38</v>
      </c>
      <c r="Z104" s="2" t="s">
        <v>39</v>
      </c>
      <c r="AA104" s="2">
        <v>25</v>
      </c>
      <c r="AB104" s="2">
        <v>20</v>
      </c>
    </row>
    <row r="105" spans="1:28" s="2" customFormat="1">
      <c r="A105" s="2" t="s">
        <v>26</v>
      </c>
      <c r="B105" s="2" t="s">
        <v>145</v>
      </c>
      <c r="C105" s="2">
        <v>30763</v>
      </c>
      <c r="D105" s="2" t="s">
        <v>27</v>
      </c>
      <c r="E105" s="2" t="s">
        <v>137</v>
      </c>
      <c r="F105" s="2" t="s">
        <v>29</v>
      </c>
      <c r="G105" s="2" t="s">
        <v>30</v>
      </c>
      <c r="H105" s="3">
        <v>44708</v>
      </c>
      <c r="I105" s="3">
        <v>44708</v>
      </c>
      <c r="J105" s="2" t="s">
        <v>53</v>
      </c>
      <c r="K105" s="2" t="s">
        <v>138</v>
      </c>
      <c r="L105" s="2" t="s">
        <v>139</v>
      </c>
      <c r="M105" s="2" t="s">
        <v>54</v>
      </c>
      <c r="N105" s="2" t="s">
        <v>55</v>
      </c>
      <c r="O105" s="2" t="s">
        <v>56</v>
      </c>
      <c r="P105" s="8">
        <v>5057091450103</v>
      </c>
      <c r="Q105" s="2" t="s">
        <v>58</v>
      </c>
      <c r="R105" s="2" t="s">
        <v>30</v>
      </c>
      <c r="S105" s="4" t="str">
        <f>VLOOKUP(P105,[2]StockItem!$R:$S,2,0)</f>
        <v>M</v>
      </c>
      <c r="T105" s="2">
        <v>8</v>
      </c>
      <c r="U105" s="2">
        <v>8</v>
      </c>
      <c r="V105" s="2">
        <v>3.45</v>
      </c>
      <c r="W105" s="2">
        <v>27.6</v>
      </c>
      <c r="X105" s="2" t="s">
        <v>37</v>
      </c>
      <c r="Y105" s="2" t="s">
        <v>38</v>
      </c>
      <c r="Z105" s="2" t="s">
        <v>39</v>
      </c>
      <c r="AA105" s="2">
        <v>25</v>
      </c>
      <c r="AB105" s="2">
        <v>20</v>
      </c>
    </row>
    <row r="106" spans="1:28" s="2" customFormat="1">
      <c r="A106" s="2" t="s">
        <v>26</v>
      </c>
      <c r="B106" s="2" t="s">
        <v>145</v>
      </c>
      <c r="C106" s="2">
        <v>30763</v>
      </c>
      <c r="D106" s="2" t="s">
        <v>27</v>
      </c>
      <c r="E106" s="2" t="s">
        <v>137</v>
      </c>
      <c r="F106" s="2" t="s">
        <v>29</v>
      </c>
      <c r="G106" s="2" t="s">
        <v>30</v>
      </c>
      <c r="H106" s="3">
        <v>44708</v>
      </c>
      <c r="I106" s="3">
        <v>44708</v>
      </c>
      <c r="J106" s="2" t="s">
        <v>53</v>
      </c>
      <c r="K106" s="2" t="s">
        <v>138</v>
      </c>
      <c r="L106" s="2" t="s">
        <v>139</v>
      </c>
      <c r="M106" s="2" t="s">
        <v>54</v>
      </c>
      <c r="N106" s="2" t="s">
        <v>55</v>
      </c>
      <c r="O106" s="2" t="s">
        <v>56</v>
      </c>
      <c r="P106" s="8">
        <v>5057091450110</v>
      </c>
      <c r="Q106" s="2" t="s">
        <v>58</v>
      </c>
      <c r="R106" s="2" t="s">
        <v>30</v>
      </c>
      <c r="S106" s="4" t="str">
        <f>VLOOKUP(P106,[2]StockItem!$R:$S,2,0)</f>
        <v>L</v>
      </c>
      <c r="T106" s="2">
        <v>11</v>
      </c>
      <c r="U106" s="2">
        <v>11</v>
      </c>
      <c r="V106" s="2">
        <v>3.45</v>
      </c>
      <c r="W106" s="2">
        <v>37.950000000000003</v>
      </c>
      <c r="X106" s="2" t="s">
        <v>37</v>
      </c>
      <c r="Y106" s="2" t="s">
        <v>38</v>
      </c>
      <c r="Z106" s="2" t="s">
        <v>39</v>
      </c>
      <c r="AA106" s="2">
        <v>25</v>
      </c>
      <c r="AB106" s="2">
        <v>20</v>
      </c>
    </row>
    <row r="107" spans="1:28" s="2" customFormat="1">
      <c r="A107" s="2" t="s">
        <v>26</v>
      </c>
      <c r="B107" s="2" t="s">
        <v>145</v>
      </c>
      <c r="C107" s="2">
        <v>30763</v>
      </c>
      <c r="D107" s="2" t="s">
        <v>27</v>
      </c>
      <c r="E107" s="2" t="s">
        <v>137</v>
      </c>
      <c r="F107" s="2" t="s">
        <v>29</v>
      </c>
      <c r="G107" s="2" t="s">
        <v>30</v>
      </c>
      <c r="H107" s="3">
        <v>44708</v>
      </c>
      <c r="I107" s="3">
        <v>44708</v>
      </c>
      <c r="J107" s="2" t="s">
        <v>53</v>
      </c>
      <c r="K107" s="2" t="s">
        <v>138</v>
      </c>
      <c r="L107" s="2" t="s">
        <v>139</v>
      </c>
      <c r="M107" s="2" t="s">
        <v>54</v>
      </c>
      <c r="N107" s="2" t="s">
        <v>55</v>
      </c>
      <c r="O107" s="2" t="s">
        <v>56</v>
      </c>
      <c r="P107" s="8">
        <v>5057091450127</v>
      </c>
      <c r="Q107" s="2" t="s">
        <v>58</v>
      </c>
      <c r="R107" s="2" t="s">
        <v>30</v>
      </c>
      <c r="S107" s="4" t="str">
        <f>VLOOKUP(P107,[2]StockItem!$R:$S,2,0)</f>
        <v>XL</v>
      </c>
      <c r="T107" s="2">
        <v>10</v>
      </c>
      <c r="U107" s="2">
        <v>10</v>
      </c>
      <c r="V107" s="2">
        <v>3.45</v>
      </c>
      <c r="W107" s="2">
        <v>34.5</v>
      </c>
      <c r="X107" s="2" t="s">
        <v>37</v>
      </c>
      <c r="Y107" s="2" t="s">
        <v>38</v>
      </c>
      <c r="Z107" s="2" t="s">
        <v>39</v>
      </c>
      <c r="AA107" s="2">
        <v>25</v>
      </c>
      <c r="AB107" s="2">
        <v>20</v>
      </c>
    </row>
    <row r="108" spans="1:28" s="2" customFormat="1">
      <c r="A108" s="2" t="s">
        <v>26</v>
      </c>
      <c r="B108" s="2" t="s">
        <v>145</v>
      </c>
      <c r="C108" s="2">
        <v>30763</v>
      </c>
      <c r="D108" s="2" t="s">
        <v>27</v>
      </c>
      <c r="E108" s="2" t="s">
        <v>137</v>
      </c>
      <c r="F108" s="2" t="s">
        <v>29</v>
      </c>
      <c r="G108" s="2" t="s">
        <v>30</v>
      </c>
      <c r="H108" s="3">
        <v>44708</v>
      </c>
      <c r="I108" s="3">
        <v>44708</v>
      </c>
      <c r="J108" s="2" t="s">
        <v>53</v>
      </c>
      <c r="K108" s="2" t="s">
        <v>138</v>
      </c>
      <c r="L108" s="2" t="s">
        <v>139</v>
      </c>
      <c r="M108" s="2" t="s">
        <v>54</v>
      </c>
      <c r="N108" s="2" t="s">
        <v>55</v>
      </c>
      <c r="O108" s="2" t="s">
        <v>56</v>
      </c>
      <c r="P108" s="8">
        <v>5057091450134</v>
      </c>
      <c r="Q108" s="2" t="s">
        <v>58</v>
      </c>
      <c r="R108" s="2" t="s">
        <v>30</v>
      </c>
      <c r="S108" s="4" t="str">
        <f>VLOOKUP(P108,[2]StockItem!$R:$S,2,0)</f>
        <v>XXL</v>
      </c>
      <c r="T108" s="2">
        <v>5</v>
      </c>
      <c r="U108" s="2">
        <v>5</v>
      </c>
      <c r="V108" s="2">
        <v>3.45</v>
      </c>
      <c r="W108" s="2">
        <v>17.25</v>
      </c>
      <c r="X108" s="2" t="s">
        <v>37</v>
      </c>
      <c r="Y108" s="2" t="s">
        <v>38</v>
      </c>
      <c r="Z108" s="2" t="s">
        <v>39</v>
      </c>
      <c r="AA108" s="2">
        <v>25</v>
      </c>
      <c r="AB108" s="2">
        <v>20</v>
      </c>
    </row>
    <row r="109" spans="1:28" s="2" customFormat="1">
      <c r="A109" s="2" t="s">
        <v>26</v>
      </c>
      <c r="B109" s="2" t="s">
        <v>145</v>
      </c>
      <c r="C109" s="2">
        <v>30763</v>
      </c>
      <c r="D109" s="2" t="s">
        <v>27</v>
      </c>
      <c r="E109" s="2" t="s">
        <v>137</v>
      </c>
      <c r="F109" s="2" t="s">
        <v>29</v>
      </c>
      <c r="G109" s="2" t="s">
        <v>30</v>
      </c>
      <c r="H109" s="3">
        <v>44708</v>
      </c>
      <c r="I109" s="3">
        <v>44708</v>
      </c>
      <c r="J109" s="2" t="s">
        <v>53</v>
      </c>
      <c r="K109" s="2" t="s">
        <v>138</v>
      </c>
      <c r="L109" s="2" t="s">
        <v>139</v>
      </c>
      <c r="M109" s="2" t="s">
        <v>54</v>
      </c>
      <c r="N109" s="2" t="s">
        <v>55</v>
      </c>
      <c r="O109" s="2" t="s">
        <v>56</v>
      </c>
      <c r="P109" s="8">
        <v>5057091450196</v>
      </c>
      <c r="Q109" s="2" t="s">
        <v>144</v>
      </c>
      <c r="R109" s="2" t="s">
        <v>30</v>
      </c>
      <c r="S109" s="4" t="str">
        <f>VLOOKUP(P109,[2]StockItem!$R:$S,2,0)</f>
        <v>L</v>
      </c>
      <c r="T109" s="2">
        <v>6</v>
      </c>
      <c r="U109" s="2">
        <v>6</v>
      </c>
      <c r="V109" s="2">
        <v>6.9</v>
      </c>
      <c r="W109" s="2">
        <v>41.4</v>
      </c>
      <c r="X109" s="2" t="s">
        <v>37</v>
      </c>
      <c r="Y109" s="2" t="s">
        <v>38</v>
      </c>
      <c r="Z109" s="2" t="s">
        <v>39</v>
      </c>
      <c r="AA109" s="2">
        <v>25</v>
      </c>
      <c r="AB109" s="2">
        <v>20</v>
      </c>
    </row>
    <row r="110" spans="1:28" s="2" customFormat="1">
      <c r="A110" s="2" t="s">
        <v>26</v>
      </c>
      <c r="B110" s="2" t="s">
        <v>145</v>
      </c>
      <c r="C110" s="2">
        <v>30763</v>
      </c>
      <c r="D110" s="2" t="s">
        <v>27</v>
      </c>
      <c r="E110" s="2" t="s">
        <v>137</v>
      </c>
      <c r="F110" s="2" t="s">
        <v>29</v>
      </c>
      <c r="G110" s="2" t="s">
        <v>30</v>
      </c>
      <c r="H110" s="3">
        <v>44708</v>
      </c>
      <c r="I110" s="3">
        <v>44708</v>
      </c>
      <c r="J110" s="2" t="s">
        <v>53</v>
      </c>
      <c r="K110" s="2" t="s">
        <v>138</v>
      </c>
      <c r="L110" s="2" t="s">
        <v>139</v>
      </c>
      <c r="M110" s="2" t="s">
        <v>54</v>
      </c>
      <c r="N110" s="2" t="s">
        <v>55</v>
      </c>
      <c r="O110" s="2" t="s">
        <v>56</v>
      </c>
      <c r="P110" s="8">
        <v>5057091450202</v>
      </c>
      <c r="Q110" s="2" t="s">
        <v>144</v>
      </c>
      <c r="R110" s="2" t="s">
        <v>30</v>
      </c>
      <c r="S110" s="4" t="str">
        <f>VLOOKUP(P110,[2]StockItem!$R:$S,2,0)</f>
        <v>XL</v>
      </c>
      <c r="T110" s="2">
        <v>4</v>
      </c>
      <c r="U110" s="2">
        <v>4</v>
      </c>
      <c r="V110" s="2">
        <v>6.9</v>
      </c>
      <c r="W110" s="2">
        <v>27.6</v>
      </c>
      <c r="X110" s="2" t="s">
        <v>37</v>
      </c>
      <c r="Y110" s="2" t="s">
        <v>38</v>
      </c>
      <c r="Z110" s="2" t="s">
        <v>39</v>
      </c>
      <c r="AA110" s="2">
        <v>25</v>
      </c>
      <c r="AB110" s="2">
        <v>20</v>
      </c>
    </row>
    <row r="111" spans="1:28" s="2" customFormat="1">
      <c r="A111" s="2" t="s">
        <v>26</v>
      </c>
      <c r="B111" s="2" t="s">
        <v>145</v>
      </c>
      <c r="C111" s="2">
        <v>30763</v>
      </c>
      <c r="D111" s="2" t="s">
        <v>27</v>
      </c>
      <c r="E111" s="2" t="s">
        <v>137</v>
      </c>
      <c r="F111" s="2" t="s">
        <v>29</v>
      </c>
      <c r="G111" s="2" t="s">
        <v>30</v>
      </c>
      <c r="H111" s="3">
        <v>44708</v>
      </c>
      <c r="I111" s="3">
        <v>44708</v>
      </c>
      <c r="J111" s="2" t="s">
        <v>53</v>
      </c>
      <c r="K111" s="2" t="s">
        <v>138</v>
      </c>
      <c r="L111" s="2" t="s">
        <v>139</v>
      </c>
      <c r="M111" s="2" t="s">
        <v>54</v>
      </c>
      <c r="N111" s="2" t="s">
        <v>55</v>
      </c>
      <c r="O111" s="2" t="s">
        <v>56</v>
      </c>
      <c r="P111" s="8">
        <v>5057091450219</v>
      </c>
      <c r="Q111" s="2" t="s">
        <v>144</v>
      </c>
      <c r="R111" s="2" t="s">
        <v>30</v>
      </c>
      <c r="S111" s="4" t="str">
        <f>VLOOKUP(P111,[2]StockItem!$R:$S,2,0)</f>
        <v>XXL</v>
      </c>
      <c r="T111" s="2">
        <v>2</v>
      </c>
      <c r="U111" s="2">
        <v>2</v>
      </c>
      <c r="V111" s="2">
        <v>6.9</v>
      </c>
      <c r="W111" s="2">
        <v>13.8</v>
      </c>
      <c r="X111" s="2" t="s">
        <v>37</v>
      </c>
      <c r="Y111" s="2" t="s">
        <v>38</v>
      </c>
      <c r="Z111" s="2" t="s">
        <v>39</v>
      </c>
      <c r="AA111" s="2">
        <v>25</v>
      </c>
      <c r="AB111" s="2">
        <v>20</v>
      </c>
    </row>
    <row r="112" spans="1:28" s="4" customFormat="1">
      <c r="A112" s="4" t="s">
        <v>26</v>
      </c>
      <c r="B112" s="4" t="s">
        <v>145</v>
      </c>
      <c r="C112" s="4">
        <v>30763</v>
      </c>
      <c r="D112" s="4" t="s">
        <v>27</v>
      </c>
      <c r="E112" s="4" t="s">
        <v>137</v>
      </c>
      <c r="F112" s="4" t="s">
        <v>29</v>
      </c>
      <c r="G112" s="4" t="s">
        <v>30</v>
      </c>
      <c r="H112" s="5">
        <v>44708</v>
      </c>
      <c r="I112" s="5">
        <v>44708</v>
      </c>
      <c r="J112" s="4" t="s">
        <v>59</v>
      </c>
      <c r="K112" s="4" t="s">
        <v>138</v>
      </c>
      <c r="L112" s="4" t="s">
        <v>139</v>
      </c>
      <c r="M112" s="4" t="s">
        <v>60</v>
      </c>
      <c r="N112" s="4" t="s">
        <v>61</v>
      </c>
      <c r="O112" s="4" t="s">
        <v>62</v>
      </c>
      <c r="P112" s="6">
        <v>5057091438941</v>
      </c>
      <c r="Q112" s="4" t="s">
        <v>74</v>
      </c>
      <c r="R112" s="4" t="str">
        <f>VLOOKUP(Q112,[1]Planning!$L:$M, 2,0)</f>
        <v>NAVY</v>
      </c>
      <c r="S112" s="4" t="e">
        <f>VLOOKUP(P112,[2]StockItem!$R:$S,2,0)</f>
        <v>#N/A</v>
      </c>
      <c r="T112" s="4">
        <v>1</v>
      </c>
      <c r="U112" s="4">
        <v>1</v>
      </c>
      <c r="V112" s="4">
        <v>18</v>
      </c>
      <c r="W112" s="4">
        <v>18</v>
      </c>
      <c r="X112" s="4" t="s">
        <v>37</v>
      </c>
      <c r="Y112" s="4" t="s">
        <v>38</v>
      </c>
      <c r="Z112" s="4" t="s">
        <v>39</v>
      </c>
      <c r="AA112" s="4">
        <v>9.99</v>
      </c>
      <c r="AB112" s="4">
        <v>6.99</v>
      </c>
    </row>
    <row r="113" spans="1:28" s="4" customFormat="1">
      <c r="A113" s="4" t="s">
        <v>26</v>
      </c>
      <c r="B113" s="4" t="s">
        <v>145</v>
      </c>
      <c r="C113" s="4">
        <v>30763</v>
      </c>
      <c r="D113" s="4" t="s">
        <v>27</v>
      </c>
      <c r="E113" s="4" t="s">
        <v>137</v>
      </c>
      <c r="F113" s="4" t="s">
        <v>29</v>
      </c>
      <c r="G113" s="4" t="s">
        <v>30</v>
      </c>
      <c r="H113" s="5">
        <v>44708</v>
      </c>
      <c r="I113" s="5">
        <v>44708</v>
      </c>
      <c r="J113" s="4" t="s">
        <v>59</v>
      </c>
      <c r="K113" s="4" t="s">
        <v>138</v>
      </c>
      <c r="L113" s="4" t="s">
        <v>139</v>
      </c>
      <c r="M113" s="4" t="s">
        <v>107</v>
      </c>
      <c r="N113" s="4" t="s">
        <v>108</v>
      </c>
      <c r="O113" s="4" t="s">
        <v>109</v>
      </c>
      <c r="P113" s="6">
        <v>5057091439061</v>
      </c>
      <c r="Q113" s="4" t="s">
        <v>64</v>
      </c>
      <c r="R113" s="4" t="str">
        <f>VLOOKUP(Q113,[1]Planning!$L:$M, 2,0)</f>
        <v>GREEN</v>
      </c>
      <c r="S113" s="4" t="e">
        <f>VLOOKUP(P113,[2]StockItem!$R:$S,2,0)</f>
        <v>#N/A</v>
      </c>
      <c r="T113" s="4">
        <v>1</v>
      </c>
      <c r="U113" s="4">
        <v>1</v>
      </c>
      <c r="V113" s="4">
        <v>33.9</v>
      </c>
      <c r="W113" s="4">
        <v>33.9</v>
      </c>
      <c r="X113" s="4" t="s">
        <v>37</v>
      </c>
      <c r="Y113" s="4" t="s">
        <v>38</v>
      </c>
      <c r="Z113" s="4" t="s">
        <v>39</v>
      </c>
      <c r="AA113" s="4">
        <v>16.989999999999998</v>
      </c>
      <c r="AB113" s="4">
        <v>12.99</v>
      </c>
    </row>
    <row r="114" spans="1:28" s="2" customFormat="1">
      <c r="A114" s="2" t="s">
        <v>26</v>
      </c>
      <c r="B114" s="2" t="s">
        <v>145</v>
      </c>
      <c r="C114" s="2">
        <v>30763</v>
      </c>
      <c r="D114" s="2" t="s">
        <v>27</v>
      </c>
      <c r="E114" s="2" t="s">
        <v>137</v>
      </c>
      <c r="F114" s="2" t="s">
        <v>29</v>
      </c>
      <c r="G114" s="2" t="s">
        <v>30</v>
      </c>
      <c r="H114" s="3">
        <v>44708</v>
      </c>
      <c r="I114" s="3">
        <v>44708</v>
      </c>
      <c r="J114" s="2" t="s">
        <v>31</v>
      </c>
      <c r="K114" s="2" t="s">
        <v>138</v>
      </c>
      <c r="L114" s="2" t="s">
        <v>139</v>
      </c>
      <c r="M114" s="2" t="s">
        <v>111</v>
      </c>
      <c r="N114" s="2" t="s">
        <v>112</v>
      </c>
      <c r="O114" s="2" t="s">
        <v>113</v>
      </c>
      <c r="P114" s="8">
        <v>5057091439443</v>
      </c>
      <c r="Q114" s="2" t="s">
        <v>74</v>
      </c>
      <c r="R114" s="2" t="s">
        <v>30</v>
      </c>
      <c r="S114" s="4" t="e">
        <f>VLOOKUP(P114,[2]StockItem!$R:$S,2,0)</f>
        <v>#N/A</v>
      </c>
      <c r="T114" s="2">
        <v>1</v>
      </c>
      <c r="U114" s="2">
        <v>1</v>
      </c>
      <c r="V114" s="2">
        <v>54</v>
      </c>
      <c r="W114" s="2">
        <v>54</v>
      </c>
      <c r="X114" s="2" t="s">
        <v>37</v>
      </c>
      <c r="Y114" s="2" t="s">
        <v>38</v>
      </c>
      <c r="Z114" s="2" t="s">
        <v>39</v>
      </c>
      <c r="AA114" s="2">
        <v>30</v>
      </c>
      <c r="AB114" s="2">
        <v>20</v>
      </c>
    </row>
    <row r="115" spans="1:28" s="2" customFormat="1">
      <c r="A115" s="2" t="s">
        <v>26</v>
      </c>
      <c r="B115" s="2" t="s">
        <v>151</v>
      </c>
      <c r="C115" s="2">
        <v>30762</v>
      </c>
      <c r="D115" s="2" t="s">
        <v>27</v>
      </c>
      <c r="E115" s="2" t="s">
        <v>146</v>
      </c>
      <c r="F115" s="2" t="s">
        <v>29</v>
      </c>
      <c r="G115" s="2" t="s">
        <v>30</v>
      </c>
      <c r="H115" s="3">
        <v>44708</v>
      </c>
      <c r="I115" s="3">
        <v>44708</v>
      </c>
      <c r="J115" s="2" t="s">
        <v>31</v>
      </c>
      <c r="K115" s="2" t="s">
        <v>147</v>
      </c>
      <c r="L115" s="2" t="s">
        <v>148</v>
      </c>
      <c r="M115" s="2" t="s">
        <v>34</v>
      </c>
      <c r="N115" s="2" t="s">
        <v>35</v>
      </c>
      <c r="O115" s="2" t="s">
        <v>36</v>
      </c>
      <c r="P115" s="8">
        <v>5057949126358</v>
      </c>
      <c r="Q115" s="2" t="s">
        <v>30</v>
      </c>
      <c r="R115" s="2" t="s">
        <v>30</v>
      </c>
      <c r="S115" s="4" t="e">
        <f>VLOOKUP(P115,[2]StockItem!$R:$S,2,0)</f>
        <v>#N/A</v>
      </c>
      <c r="T115" s="2">
        <v>2</v>
      </c>
      <c r="U115" s="2">
        <v>2</v>
      </c>
      <c r="V115" s="2">
        <v>54.54</v>
      </c>
      <c r="W115" s="2">
        <v>109.08</v>
      </c>
      <c r="X115" s="2" t="s">
        <v>37</v>
      </c>
      <c r="Y115" s="2" t="s">
        <v>38</v>
      </c>
      <c r="Z115" s="2" t="s">
        <v>39</v>
      </c>
      <c r="AA115" s="2">
        <v>30</v>
      </c>
      <c r="AB115" s="2">
        <v>20</v>
      </c>
    </row>
    <row r="116" spans="1:28" s="2" customFormat="1">
      <c r="A116" s="2" t="s">
        <v>26</v>
      </c>
      <c r="B116" s="2" t="s">
        <v>151</v>
      </c>
      <c r="C116" s="2">
        <v>30762</v>
      </c>
      <c r="D116" s="2" t="s">
        <v>27</v>
      </c>
      <c r="E116" s="2" t="s">
        <v>146</v>
      </c>
      <c r="F116" s="2" t="s">
        <v>29</v>
      </c>
      <c r="G116" s="2" t="s">
        <v>30</v>
      </c>
      <c r="H116" s="3">
        <v>44708</v>
      </c>
      <c r="I116" s="3">
        <v>44708</v>
      </c>
      <c r="J116" s="2" t="s">
        <v>31</v>
      </c>
      <c r="K116" s="2" t="s">
        <v>147</v>
      </c>
      <c r="L116" s="2" t="s">
        <v>148</v>
      </c>
      <c r="M116" s="2" t="s">
        <v>34</v>
      </c>
      <c r="N116" s="2" t="s">
        <v>40</v>
      </c>
      <c r="O116" s="2" t="s">
        <v>41</v>
      </c>
      <c r="P116" s="8">
        <v>5057949126365</v>
      </c>
      <c r="Q116" s="2" t="s">
        <v>30</v>
      </c>
      <c r="R116" s="2" t="s">
        <v>30</v>
      </c>
      <c r="S116" s="4" t="e">
        <f>VLOOKUP(P116,[2]StockItem!$R:$S,2,0)</f>
        <v>#N/A</v>
      </c>
      <c r="T116" s="2">
        <v>3</v>
      </c>
      <c r="U116" s="2">
        <v>3</v>
      </c>
      <c r="V116" s="2">
        <v>54.54</v>
      </c>
      <c r="W116" s="2">
        <v>163.62</v>
      </c>
      <c r="X116" s="2" t="s">
        <v>37</v>
      </c>
      <c r="Y116" s="2" t="s">
        <v>38</v>
      </c>
      <c r="Z116" s="2" t="s">
        <v>39</v>
      </c>
      <c r="AA116" s="2">
        <v>30</v>
      </c>
      <c r="AB116" s="2">
        <v>20</v>
      </c>
    </row>
    <row r="117" spans="1:28" s="2" customFormat="1">
      <c r="A117" s="2" t="s">
        <v>26</v>
      </c>
      <c r="B117" s="2" t="s">
        <v>151</v>
      </c>
      <c r="C117" s="2">
        <v>30762</v>
      </c>
      <c r="D117" s="2" t="s">
        <v>27</v>
      </c>
      <c r="E117" s="2" t="s">
        <v>146</v>
      </c>
      <c r="F117" s="2" t="s">
        <v>29</v>
      </c>
      <c r="G117" s="2" t="s">
        <v>30</v>
      </c>
      <c r="H117" s="3">
        <v>44708</v>
      </c>
      <c r="I117" s="3">
        <v>44708</v>
      </c>
      <c r="J117" s="2" t="s">
        <v>31</v>
      </c>
      <c r="K117" s="2" t="s">
        <v>147</v>
      </c>
      <c r="L117" s="2" t="s">
        <v>148</v>
      </c>
      <c r="M117" s="2" t="s">
        <v>34</v>
      </c>
      <c r="N117" s="2" t="s">
        <v>42</v>
      </c>
      <c r="O117" s="2" t="s">
        <v>43</v>
      </c>
      <c r="P117" s="8">
        <v>5057949126372</v>
      </c>
      <c r="Q117" s="2" t="s">
        <v>30</v>
      </c>
      <c r="R117" s="2" t="s">
        <v>30</v>
      </c>
      <c r="S117" s="4" t="e">
        <f>VLOOKUP(P117,[2]StockItem!$R:$S,2,0)</f>
        <v>#N/A</v>
      </c>
      <c r="T117" s="2">
        <v>4</v>
      </c>
      <c r="U117" s="2">
        <v>4</v>
      </c>
      <c r="V117" s="2">
        <v>54.54</v>
      </c>
      <c r="W117" s="2">
        <v>218.16</v>
      </c>
      <c r="X117" s="2" t="s">
        <v>37</v>
      </c>
      <c r="Y117" s="2" t="s">
        <v>38</v>
      </c>
      <c r="Z117" s="2" t="s">
        <v>39</v>
      </c>
      <c r="AA117" s="2">
        <v>30</v>
      </c>
      <c r="AB117" s="2">
        <v>20</v>
      </c>
    </row>
    <row r="118" spans="1:28" s="2" customFormat="1">
      <c r="A118" s="2" t="s">
        <v>26</v>
      </c>
      <c r="B118" s="2" t="s">
        <v>151</v>
      </c>
      <c r="C118" s="2">
        <v>30762</v>
      </c>
      <c r="D118" s="2" t="s">
        <v>27</v>
      </c>
      <c r="E118" s="2" t="s">
        <v>146</v>
      </c>
      <c r="F118" s="2" t="s">
        <v>29</v>
      </c>
      <c r="G118" s="2" t="s">
        <v>30</v>
      </c>
      <c r="H118" s="3">
        <v>44708</v>
      </c>
      <c r="I118" s="3">
        <v>44708</v>
      </c>
      <c r="J118" s="2" t="s">
        <v>31</v>
      </c>
      <c r="K118" s="2" t="s">
        <v>147</v>
      </c>
      <c r="L118" s="2" t="s">
        <v>148</v>
      </c>
      <c r="M118" s="2" t="s">
        <v>34</v>
      </c>
      <c r="N118" s="2" t="s">
        <v>44</v>
      </c>
      <c r="O118" s="2" t="s">
        <v>45</v>
      </c>
      <c r="P118" s="8">
        <v>5057949126402</v>
      </c>
      <c r="Q118" s="2" t="s">
        <v>30</v>
      </c>
      <c r="R118" s="2" t="s">
        <v>30</v>
      </c>
      <c r="S118" s="4" t="e">
        <f>VLOOKUP(P118,[2]StockItem!$R:$S,2,0)</f>
        <v>#N/A</v>
      </c>
      <c r="T118" s="2">
        <v>5</v>
      </c>
      <c r="U118" s="2">
        <v>5</v>
      </c>
      <c r="V118" s="2">
        <v>54.54</v>
      </c>
      <c r="W118" s="2">
        <v>272.7</v>
      </c>
      <c r="X118" s="2" t="s">
        <v>37</v>
      </c>
      <c r="Y118" s="2" t="s">
        <v>38</v>
      </c>
      <c r="Z118" s="2" t="s">
        <v>39</v>
      </c>
      <c r="AA118" s="2">
        <v>30</v>
      </c>
      <c r="AB118" s="2">
        <v>20</v>
      </c>
    </row>
    <row r="119" spans="1:28" s="2" customFormat="1">
      <c r="A119" s="2" t="s">
        <v>26</v>
      </c>
      <c r="B119" s="2" t="s">
        <v>151</v>
      </c>
      <c r="C119" s="2">
        <v>30762</v>
      </c>
      <c r="D119" s="2" t="s">
        <v>27</v>
      </c>
      <c r="E119" s="2" t="s">
        <v>146</v>
      </c>
      <c r="F119" s="2" t="s">
        <v>29</v>
      </c>
      <c r="G119" s="2" t="s">
        <v>30</v>
      </c>
      <c r="H119" s="3">
        <v>44708</v>
      </c>
      <c r="I119" s="3">
        <v>44708</v>
      </c>
      <c r="J119" s="2" t="s">
        <v>31</v>
      </c>
      <c r="K119" s="2" t="s">
        <v>147</v>
      </c>
      <c r="L119" s="2" t="s">
        <v>148</v>
      </c>
      <c r="M119" s="2" t="s">
        <v>34</v>
      </c>
      <c r="N119" s="2" t="s">
        <v>46</v>
      </c>
      <c r="O119" s="2" t="s">
        <v>47</v>
      </c>
      <c r="P119" s="8">
        <v>5057949126419</v>
      </c>
      <c r="Q119" s="2" t="s">
        <v>30</v>
      </c>
      <c r="R119" s="2" t="s">
        <v>30</v>
      </c>
      <c r="S119" s="4" t="e">
        <f>VLOOKUP(P119,[2]StockItem!$R:$S,2,0)</f>
        <v>#N/A</v>
      </c>
      <c r="T119" s="2">
        <v>6</v>
      </c>
      <c r="U119" s="2">
        <v>6</v>
      </c>
      <c r="V119" s="2">
        <v>54.54</v>
      </c>
      <c r="W119" s="2">
        <v>327.24</v>
      </c>
      <c r="X119" s="2" t="s">
        <v>37</v>
      </c>
      <c r="Y119" s="2" t="s">
        <v>38</v>
      </c>
      <c r="Z119" s="2" t="s">
        <v>39</v>
      </c>
      <c r="AA119" s="2">
        <v>30</v>
      </c>
      <c r="AB119" s="2">
        <v>20</v>
      </c>
    </row>
    <row r="120" spans="1:28" s="2" customFormat="1">
      <c r="A120" s="2" t="s">
        <v>26</v>
      </c>
      <c r="B120" s="2" t="s">
        <v>151</v>
      </c>
      <c r="C120" s="2">
        <v>30762</v>
      </c>
      <c r="D120" s="2" t="s">
        <v>27</v>
      </c>
      <c r="E120" s="2" t="s">
        <v>146</v>
      </c>
      <c r="F120" s="2" t="s">
        <v>29</v>
      </c>
      <c r="G120" s="2" t="s">
        <v>30</v>
      </c>
      <c r="H120" s="3">
        <v>44708</v>
      </c>
      <c r="I120" s="3">
        <v>44708</v>
      </c>
      <c r="J120" s="2" t="s">
        <v>53</v>
      </c>
      <c r="K120" s="2" t="s">
        <v>147</v>
      </c>
      <c r="L120" s="2" t="s">
        <v>148</v>
      </c>
      <c r="M120" s="2" t="s">
        <v>54</v>
      </c>
      <c r="N120" s="2" t="s">
        <v>55</v>
      </c>
      <c r="O120" s="2" t="s">
        <v>56</v>
      </c>
      <c r="P120" s="8">
        <v>5057091450066</v>
      </c>
      <c r="Q120" s="2" t="s">
        <v>57</v>
      </c>
      <c r="R120" s="2" t="s">
        <v>30</v>
      </c>
      <c r="S120" s="4" t="str">
        <f>VLOOKUP(P120,[2]StockItem!$R:$S,2,0)</f>
        <v>M</v>
      </c>
      <c r="T120" s="2">
        <v>6</v>
      </c>
      <c r="U120" s="2">
        <v>6</v>
      </c>
      <c r="V120" s="2">
        <v>3.45</v>
      </c>
      <c r="W120" s="2">
        <v>20.7</v>
      </c>
      <c r="X120" s="2" t="s">
        <v>37</v>
      </c>
      <c r="Y120" s="2" t="s">
        <v>38</v>
      </c>
      <c r="Z120" s="2" t="s">
        <v>39</v>
      </c>
      <c r="AA120" s="2">
        <v>25</v>
      </c>
      <c r="AB120" s="2">
        <v>20</v>
      </c>
    </row>
    <row r="121" spans="1:28" s="2" customFormat="1">
      <c r="A121" s="2" t="s">
        <v>26</v>
      </c>
      <c r="B121" s="2" t="s">
        <v>151</v>
      </c>
      <c r="C121" s="2">
        <v>30762</v>
      </c>
      <c r="D121" s="2" t="s">
        <v>27</v>
      </c>
      <c r="E121" s="2" t="s">
        <v>146</v>
      </c>
      <c r="F121" s="2" t="s">
        <v>29</v>
      </c>
      <c r="G121" s="2" t="s">
        <v>30</v>
      </c>
      <c r="H121" s="3">
        <v>44708</v>
      </c>
      <c r="I121" s="3">
        <v>44708</v>
      </c>
      <c r="J121" s="2" t="s">
        <v>53</v>
      </c>
      <c r="K121" s="2" t="s">
        <v>147</v>
      </c>
      <c r="L121" s="2" t="s">
        <v>148</v>
      </c>
      <c r="M121" s="2" t="s">
        <v>54</v>
      </c>
      <c r="N121" s="2" t="s">
        <v>55</v>
      </c>
      <c r="O121" s="2" t="s">
        <v>56</v>
      </c>
      <c r="P121" s="8">
        <v>5057091450073</v>
      </c>
      <c r="Q121" s="2" t="s">
        <v>57</v>
      </c>
      <c r="R121" s="2" t="s">
        <v>30</v>
      </c>
      <c r="S121" s="4" t="str">
        <f>VLOOKUP(P121,[2]StockItem!$R:$S,2,0)</f>
        <v>L</v>
      </c>
      <c r="T121" s="2">
        <v>8</v>
      </c>
      <c r="U121" s="2">
        <v>8</v>
      </c>
      <c r="V121" s="2">
        <v>3.45</v>
      </c>
      <c r="W121" s="2">
        <v>27.6</v>
      </c>
      <c r="X121" s="2" t="s">
        <v>37</v>
      </c>
      <c r="Y121" s="2" t="s">
        <v>38</v>
      </c>
      <c r="Z121" s="2" t="s">
        <v>39</v>
      </c>
      <c r="AA121" s="2">
        <v>25</v>
      </c>
      <c r="AB121" s="2">
        <v>20</v>
      </c>
    </row>
    <row r="122" spans="1:28" s="2" customFormat="1">
      <c r="A122" s="2" t="s">
        <v>26</v>
      </c>
      <c r="B122" s="2" t="s">
        <v>151</v>
      </c>
      <c r="C122" s="2">
        <v>30762</v>
      </c>
      <c r="D122" s="2" t="s">
        <v>27</v>
      </c>
      <c r="E122" s="2" t="s">
        <v>146</v>
      </c>
      <c r="F122" s="2" t="s">
        <v>29</v>
      </c>
      <c r="G122" s="2" t="s">
        <v>30</v>
      </c>
      <c r="H122" s="3">
        <v>44708</v>
      </c>
      <c r="I122" s="3">
        <v>44708</v>
      </c>
      <c r="J122" s="2" t="s">
        <v>53</v>
      </c>
      <c r="K122" s="2" t="s">
        <v>147</v>
      </c>
      <c r="L122" s="2" t="s">
        <v>148</v>
      </c>
      <c r="M122" s="2" t="s">
        <v>54</v>
      </c>
      <c r="N122" s="2" t="s">
        <v>55</v>
      </c>
      <c r="O122" s="2" t="s">
        <v>56</v>
      </c>
      <c r="P122" s="8">
        <v>5057091450080</v>
      </c>
      <c r="Q122" s="2" t="s">
        <v>57</v>
      </c>
      <c r="R122" s="2" t="s">
        <v>30</v>
      </c>
      <c r="S122" s="4" t="str">
        <f>VLOOKUP(P122,[2]StockItem!$R:$S,2,0)</f>
        <v>XL</v>
      </c>
      <c r="T122" s="2">
        <v>6</v>
      </c>
      <c r="U122" s="2">
        <v>6</v>
      </c>
      <c r="V122" s="2">
        <v>3.45</v>
      </c>
      <c r="W122" s="2">
        <v>20.7</v>
      </c>
      <c r="X122" s="2" t="s">
        <v>37</v>
      </c>
      <c r="Y122" s="2" t="s">
        <v>38</v>
      </c>
      <c r="Z122" s="2" t="s">
        <v>39</v>
      </c>
      <c r="AA122" s="2">
        <v>25</v>
      </c>
      <c r="AB122" s="2">
        <v>20</v>
      </c>
    </row>
    <row r="123" spans="1:28" s="2" customFormat="1">
      <c r="A123" s="2" t="s">
        <v>26</v>
      </c>
      <c r="B123" s="2" t="s">
        <v>151</v>
      </c>
      <c r="C123" s="2">
        <v>30762</v>
      </c>
      <c r="D123" s="2" t="s">
        <v>27</v>
      </c>
      <c r="E123" s="2" t="s">
        <v>146</v>
      </c>
      <c r="F123" s="2" t="s">
        <v>29</v>
      </c>
      <c r="G123" s="2" t="s">
        <v>30</v>
      </c>
      <c r="H123" s="3">
        <v>44708</v>
      </c>
      <c r="I123" s="3">
        <v>44708</v>
      </c>
      <c r="J123" s="2" t="s">
        <v>53</v>
      </c>
      <c r="K123" s="2" t="s">
        <v>147</v>
      </c>
      <c r="L123" s="2" t="s">
        <v>148</v>
      </c>
      <c r="M123" s="2" t="s">
        <v>54</v>
      </c>
      <c r="N123" s="2" t="s">
        <v>55</v>
      </c>
      <c r="O123" s="2" t="s">
        <v>56</v>
      </c>
      <c r="P123" s="8">
        <v>5057091450097</v>
      </c>
      <c r="Q123" s="2" t="s">
        <v>57</v>
      </c>
      <c r="R123" s="2" t="s">
        <v>30</v>
      </c>
      <c r="S123" s="4" t="str">
        <f>VLOOKUP(P123,[2]StockItem!$R:$S,2,0)</f>
        <v>XXL</v>
      </c>
      <c r="T123" s="2">
        <v>4</v>
      </c>
      <c r="U123" s="2">
        <v>4</v>
      </c>
      <c r="V123" s="2">
        <v>3.45</v>
      </c>
      <c r="W123" s="2">
        <v>13.8</v>
      </c>
      <c r="X123" s="2" t="s">
        <v>37</v>
      </c>
      <c r="Y123" s="2" t="s">
        <v>38</v>
      </c>
      <c r="Z123" s="2" t="s">
        <v>39</v>
      </c>
      <c r="AA123" s="2">
        <v>25</v>
      </c>
      <c r="AB123" s="2">
        <v>20</v>
      </c>
    </row>
    <row r="124" spans="1:28" s="2" customFormat="1">
      <c r="A124" s="2" t="s">
        <v>26</v>
      </c>
      <c r="B124" s="2" t="s">
        <v>151</v>
      </c>
      <c r="C124" s="2">
        <v>30762</v>
      </c>
      <c r="D124" s="2" t="s">
        <v>27</v>
      </c>
      <c r="E124" s="2" t="s">
        <v>146</v>
      </c>
      <c r="F124" s="2" t="s">
        <v>29</v>
      </c>
      <c r="G124" s="2" t="s">
        <v>30</v>
      </c>
      <c r="H124" s="3">
        <v>44708</v>
      </c>
      <c r="I124" s="3">
        <v>44708</v>
      </c>
      <c r="J124" s="2" t="s">
        <v>53</v>
      </c>
      <c r="K124" s="2" t="s">
        <v>147</v>
      </c>
      <c r="L124" s="2" t="s">
        <v>148</v>
      </c>
      <c r="M124" s="2" t="s">
        <v>54</v>
      </c>
      <c r="N124" s="2" t="s">
        <v>55</v>
      </c>
      <c r="O124" s="2" t="s">
        <v>56</v>
      </c>
      <c r="P124" s="8">
        <v>5057091450103</v>
      </c>
      <c r="Q124" s="2" t="s">
        <v>58</v>
      </c>
      <c r="R124" s="2" t="s">
        <v>30</v>
      </c>
      <c r="S124" s="4" t="str">
        <f>VLOOKUP(P124,[2]StockItem!$R:$S,2,0)</f>
        <v>M</v>
      </c>
      <c r="T124" s="2">
        <v>6</v>
      </c>
      <c r="U124" s="2">
        <v>6</v>
      </c>
      <c r="V124" s="2">
        <v>3.45</v>
      </c>
      <c r="W124" s="2">
        <v>20.7</v>
      </c>
      <c r="X124" s="2" t="s">
        <v>37</v>
      </c>
      <c r="Y124" s="2" t="s">
        <v>38</v>
      </c>
      <c r="Z124" s="2" t="s">
        <v>39</v>
      </c>
      <c r="AA124" s="2">
        <v>25</v>
      </c>
      <c r="AB124" s="2">
        <v>20</v>
      </c>
    </row>
    <row r="125" spans="1:28" s="2" customFormat="1">
      <c r="A125" s="2" t="s">
        <v>26</v>
      </c>
      <c r="B125" s="2" t="s">
        <v>151</v>
      </c>
      <c r="C125" s="2">
        <v>30762</v>
      </c>
      <c r="D125" s="2" t="s">
        <v>27</v>
      </c>
      <c r="E125" s="2" t="s">
        <v>146</v>
      </c>
      <c r="F125" s="2" t="s">
        <v>29</v>
      </c>
      <c r="G125" s="2" t="s">
        <v>30</v>
      </c>
      <c r="H125" s="3">
        <v>44708</v>
      </c>
      <c r="I125" s="3">
        <v>44708</v>
      </c>
      <c r="J125" s="2" t="s">
        <v>53</v>
      </c>
      <c r="K125" s="2" t="s">
        <v>147</v>
      </c>
      <c r="L125" s="2" t="s">
        <v>148</v>
      </c>
      <c r="M125" s="2" t="s">
        <v>54</v>
      </c>
      <c r="N125" s="2" t="s">
        <v>55</v>
      </c>
      <c r="O125" s="2" t="s">
        <v>56</v>
      </c>
      <c r="P125" s="8">
        <v>5057091450110</v>
      </c>
      <c r="Q125" s="2" t="s">
        <v>58</v>
      </c>
      <c r="R125" s="2" t="s">
        <v>30</v>
      </c>
      <c r="S125" s="4" t="str">
        <f>VLOOKUP(P125,[2]StockItem!$R:$S,2,0)</f>
        <v>L</v>
      </c>
      <c r="T125" s="2">
        <v>8</v>
      </c>
      <c r="U125" s="2">
        <v>8</v>
      </c>
      <c r="V125" s="2">
        <v>3.45</v>
      </c>
      <c r="W125" s="2">
        <v>27.6</v>
      </c>
      <c r="X125" s="2" t="s">
        <v>37</v>
      </c>
      <c r="Y125" s="2" t="s">
        <v>38</v>
      </c>
      <c r="Z125" s="2" t="s">
        <v>39</v>
      </c>
      <c r="AA125" s="2">
        <v>25</v>
      </c>
      <c r="AB125" s="2">
        <v>20</v>
      </c>
    </row>
    <row r="126" spans="1:28" s="2" customFormat="1">
      <c r="A126" s="2" t="s">
        <v>26</v>
      </c>
      <c r="B126" s="2" t="s">
        <v>151</v>
      </c>
      <c r="C126" s="2">
        <v>30762</v>
      </c>
      <c r="D126" s="2" t="s">
        <v>27</v>
      </c>
      <c r="E126" s="2" t="s">
        <v>146</v>
      </c>
      <c r="F126" s="2" t="s">
        <v>29</v>
      </c>
      <c r="G126" s="2" t="s">
        <v>30</v>
      </c>
      <c r="H126" s="3">
        <v>44708</v>
      </c>
      <c r="I126" s="3">
        <v>44708</v>
      </c>
      <c r="J126" s="2" t="s">
        <v>53</v>
      </c>
      <c r="K126" s="2" t="s">
        <v>147</v>
      </c>
      <c r="L126" s="2" t="s">
        <v>148</v>
      </c>
      <c r="M126" s="2" t="s">
        <v>54</v>
      </c>
      <c r="N126" s="2" t="s">
        <v>55</v>
      </c>
      <c r="O126" s="2" t="s">
        <v>56</v>
      </c>
      <c r="P126" s="8">
        <v>5057091450127</v>
      </c>
      <c r="Q126" s="2" t="s">
        <v>58</v>
      </c>
      <c r="R126" s="2" t="s">
        <v>30</v>
      </c>
      <c r="S126" s="4" t="str">
        <f>VLOOKUP(P126,[2]StockItem!$R:$S,2,0)</f>
        <v>XL</v>
      </c>
      <c r="T126" s="2">
        <v>6</v>
      </c>
      <c r="U126" s="2">
        <v>6</v>
      </c>
      <c r="V126" s="2">
        <v>3.45</v>
      </c>
      <c r="W126" s="2">
        <v>20.7</v>
      </c>
      <c r="X126" s="2" t="s">
        <v>37</v>
      </c>
      <c r="Y126" s="2" t="s">
        <v>38</v>
      </c>
      <c r="Z126" s="2" t="s">
        <v>39</v>
      </c>
      <c r="AA126" s="2">
        <v>25</v>
      </c>
      <c r="AB126" s="2">
        <v>20</v>
      </c>
    </row>
    <row r="127" spans="1:28" s="2" customFormat="1">
      <c r="A127" s="2" t="s">
        <v>26</v>
      </c>
      <c r="B127" s="2" t="s">
        <v>151</v>
      </c>
      <c r="C127" s="2">
        <v>30762</v>
      </c>
      <c r="D127" s="2" t="s">
        <v>27</v>
      </c>
      <c r="E127" s="2" t="s">
        <v>146</v>
      </c>
      <c r="F127" s="2" t="s">
        <v>29</v>
      </c>
      <c r="G127" s="2" t="s">
        <v>30</v>
      </c>
      <c r="H127" s="3">
        <v>44708</v>
      </c>
      <c r="I127" s="3">
        <v>44708</v>
      </c>
      <c r="J127" s="2" t="s">
        <v>53</v>
      </c>
      <c r="K127" s="2" t="s">
        <v>147</v>
      </c>
      <c r="L127" s="2" t="s">
        <v>148</v>
      </c>
      <c r="M127" s="2" t="s">
        <v>54</v>
      </c>
      <c r="N127" s="2" t="s">
        <v>55</v>
      </c>
      <c r="O127" s="2" t="s">
        <v>56</v>
      </c>
      <c r="P127" s="8">
        <v>5057091450134</v>
      </c>
      <c r="Q127" s="2" t="s">
        <v>58</v>
      </c>
      <c r="R127" s="2" t="s">
        <v>30</v>
      </c>
      <c r="S127" s="4" t="str">
        <f>VLOOKUP(P127,[2]StockItem!$R:$S,2,0)</f>
        <v>XXL</v>
      </c>
      <c r="T127" s="2">
        <v>4</v>
      </c>
      <c r="U127" s="2">
        <v>4</v>
      </c>
      <c r="V127" s="2">
        <v>3.45</v>
      </c>
      <c r="W127" s="2">
        <v>13.8</v>
      </c>
      <c r="X127" s="2" t="s">
        <v>37</v>
      </c>
      <c r="Y127" s="2" t="s">
        <v>38</v>
      </c>
      <c r="Z127" s="2" t="s">
        <v>39</v>
      </c>
      <c r="AA127" s="2">
        <v>25</v>
      </c>
      <c r="AB127" s="2">
        <v>20</v>
      </c>
    </row>
    <row r="128" spans="1:28" s="4" customFormat="1">
      <c r="A128" s="4" t="s">
        <v>26</v>
      </c>
      <c r="B128" s="4" t="s">
        <v>151</v>
      </c>
      <c r="C128" s="4">
        <v>30762</v>
      </c>
      <c r="D128" s="4" t="s">
        <v>27</v>
      </c>
      <c r="E128" s="4" t="s">
        <v>146</v>
      </c>
      <c r="F128" s="4" t="s">
        <v>29</v>
      </c>
      <c r="G128" s="4" t="s">
        <v>30</v>
      </c>
      <c r="H128" s="5">
        <v>44708</v>
      </c>
      <c r="I128" s="5">
        <v>44708</v>
      </c>
      <c r="J128" s="4" t="s">
        <v>59</v>
      </c>
      <c r="K128" s="4" t="s">
        <v>147</v>
      </c>
      <c r="L128" s="4" t="s">
        <v>148</v>
      </c>
      <c r="M128" s="4" t="s">
        <v>60</v>
      </c>
      <c r="N128" s="4" t="s">
        <v>61</v>
      </c>
      <c r="O128" s="4" t="s">
        <v>62</v>
      </c>
      <c r="P128" s="6">
        <v>5057091438989</v>
      </c>
      <c r="Q128" s="4" t="s">
        <v>64</v>
      </c>
      <c r="R128" s="4" t="str">
        <f>VLOOKUP(Q128,[1]Planning!$L:$M, 2,0)</f>
        <v>GREEN</v>
      </c>
      <c r="S128" s="4" t="e">
        <f>VLOOKUP(P128,[2]StockItem!$R:$S,2,0)</f>
        <v>#N/A</v>
      </c>
      <c r="T128" s="4">
        <v>1</v>
      </c>
      <c r="U128" s="4">
        <v>1</v>
      </c>
      <c r="V128" s="4">
        <v>18</v>
      </c>
      <c r="W128" s="4">
        <v>18</v>
      </c>
      <c r="X128" s="4" t="s">
        <v>37</v>
      </c>
      <c r="Y128" s="4" t="s">
        <v>38</v>
      </c>
      <c r="Z128" s="4" t="s">
        <v>39</v>
      </c>
      <c r="AA128" s="4">
        <v>9.99</v>
      </c>
      <c r="AB128" s="4">
        <v>6.99</v>
      </c>
    </row>
    <row r="129" spans="1:28" s="4" customFormat="1">
      <c r="A129" s="4" t="s">
        <v>26</v>
      </c>
      <c r="B129" s="4" t="s">
        <v>151</v>
      </c>
      <c r="C129" s="4">
        <v>30762</v>
      </c>
      <c r="D129" s="4" t="s">
        <v>27</v>
      </c>
      <c r="E129" s="4" t="s">
        <v>146</v>
      </c>
      <c r="F129" s="4" t="s">
        <v>29</v>
      </c>
      <c r="G129" s="4" t="s">
        <v>30</v>
      </c>
      <c r="H129" s="5">
        <v>44708</v>
      </c>
      <c r="I129" s="5">
        <v>44708</v>
      </c>
      <c r="J129" s="4" t="s">
        <v>31</v>
      </c>
      <c r="K129" s="4" t="s">
        <v>147</v>
      </c>
      <c r="L129" s="4" t="s">
        <v>148</v>
      </c>
      <c r="M129" s="4" t="s">
        <v>79</v>
      </c>
      <c r="N129" s="4" t="s">
        <v>80</v>
      </c>
      <c r="O129" s="4" t="s">
        <v>81</v>
      </c>
      <c r="P129" s="6">
        <v>5057091439658</v>
      </c>
      <c r="Q129" s="4" t="s">
        <v>150</v>
      </c>
      <c r="R129" s="4" t="s">
        <v>163</v>
      </c>
      <c r="S129" s="4" t="e">
        <f>VLOOKUP(P129,[2]StockItem!$R:$S,2,0)</f>
        <v>#N/A</v>
      </c>
      <c r="T129" s="4">
        <v>1</v>
      </c>
      <c r="U129" s="4">
        <v>1</v>
      </c>
      <c r="V129" s="4">
        <v>67</v>
      </c>
      <c r="W129" s="4">
        <v>67</v>
      </c>
      <c r="X129" s="4" t="s">
        <v>37</v>
      </c>
      <c r="Y129" s="4" t="s">
        <v>38</v>
      </c>
      <c r="Z129" s="4" t="s">
        <v>39</v>
      </c>
      <c r="AA129" s="4">
        <v>35</v>
      </c>
      <c r="AB129" s="4">
        <v>20</v>
      </c>
    </row>
    <row r="130" spans="1:28">
      <c r="AA130" s="2"/>
    </row>
    <row r="131" spans="1:28">
      <c r="AA131" s="2"/>
    </row>
    <row r="132" spans="1:28">
      <c r="AA132" s="2"/>
    </row>
    <row r="133" spans="1:28">
      <c r="AA133" s="2"/>
    </row>
  </sheetData>
  <autoFilter ref="A1:Z1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50B8-2091-4F49-9FBE-79C6061EEF1B}">
  <dimension ref="A1:V33"/>
  <sheetViews>
    <sheetView topLeftCell="E1" workbookViewId="0">
      <selection activeCell="H2" sqref="H2"/>
    </sheetView>
  </sheetViews>
  <sheetFormatPr defaultRowHeight="15"/>
  <cols>
    <col min="3" max="3" width="11.140625" bestFit="1" customWidth="1"/>
    <col min="4" max="4" width="11.42578125" bestFit="1" customWidth="1"/>
    <col min="5" max="5" width="21.42578125" bestFit="1" customWidth="1"/>
    <col min="7" max="7" width="10.7109375" bestFit="1" customWidth="1"/>
    <col min="8" max="8" width="20.140625" bestFit="1" customWidth="1"/>
    <col min="10" max="10" width="19.140625" bestFit="1" customWidth="1"/>
    <col min="11" max="11" width="44.7109375" bestFit="1" customWidth="1"/>
    <col min="12" max="12" width="14.140625" bestFit="1" customWidth="1"/>
  </cols>
  <sheetData>
    <row r="1" spans="1:2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13</v>
      </c>
      <c r="K1" t="s">
        <v>14</v>
      </c>
      <c r="L1" t="s">
        <v>15</v>
      </c>
      <c r="M1" t="s">
        <v>17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s="1" t="s">
        <v>152</v>
      </c>
      <c r="V1" s="1" t="s">
        <v>153</v>
      </c>
    </row>
    <row r="2" spans="1:22">
      <c r="A2" s="4" t="s">
        <v>75</v>
      </c>
      <c r="B2" s="4">
        <v>30761</v>
      </c>
      <c r="C2" s="4" t="s">
        <v>27</v>
      </c>
      <c r="D2" s="4" t="s">
        <v>28</v>
      </c>
      <c r="E2" s="4" t="s">
        <v>29</v>
      </c>
      <c r="F2" s="4" t="s">
        <v>30</v>
      </c>
      <c r="G2" s="5">
        <v>44708</v>
      </c>
      <c r="H2" s="5">
        <v>44708</v>
      </c>
      <c r="I2" s="4" t="s">
        <v>31</v>
      </c>
      <c r="J2" s="4" t="s">
        <v>49</v>
      </c>
      <c r="K2" s="4" t="s">
        <v>50</v>
      </c>
      <c r="L2" s="4" t="s">
        <v>51</v>
      </c>
      <c r="M2" s="4" t="s">
        <v>156</v>
      </c>
      <c r="N2" s="4">
        <v>1</v>
      </c>
      <c r="O2" s="4">
        <v>1</v>
      </c>
      <c r="P2" s="4">
        <v>54</v>
      </c>
      <c r="Q2" s="4">
        <v>54</v>
      </c>
      <c r="R2" s="4" t="s">
        <v>37</v>
      </c>
      <c r="S2" s="4" t="s">
        <v>38</v>
      </c>
      <c r="T2" s="4" t="s">
        <v>39</v>
      </c>
      <c r="U2" s="4">
        <v>30</v>
      </c>
      <c r="V2" s="4">
        <v>20</v>
      </c>
    </row>
    <row r="3" spans="1:22">
      <c r="A3" s="4" t="s">
        <v>75</v>
      </c>
      <c r="B3" s="4">
        <v>30761</v>
      </c>
      <c r="C3" s="4" t="s">
        <v>27</v>
      </c>
      <c r="D3" s="4" t="s">
        <v>28</v>
      </c>
      <c r="E3" s="4" t="s">
        <v>29</v>
      </c>
      <c r="F3" s="4" t="s">
        <v>30</v>
      </c>
      <c r="G3" s="5">
        <v>44708</v>
      </c>
      <c r="H3" s="5">
        <v>44708</v>
      </c>
      <c r="I3" s="4" t="s">
        <v>59</v>
      </c>
      <c r="J3" s="4" t="s">
        <v>61</v>
      </c>
      <c r="K3" s="4" t="s">
        <v>62</v>
      </c>
      <c r="L3" s="4" t="s">
        <v>63</v>
      </c>
      <c r="M3" s="4" t="s">
        <v>163</v>
      </c>
      <c r="N3" s="4">
        <v>1</v>
      </c>
      <c r="O3" s="4">
        <v>1</v>
      </c>
      <c r="P3" s="4">
        <v>18</v>
      </c>
      <c r="Q3" s="4">
        <v>18</v>
      </c>
      <c r="R3" s="4" t="s">
        <v>37</v>
      </c>
      <c r="S3" s="4" t="s">
        <v>38</v>
      </c>
      <c r="T3" s="4" t="s">
        <v>39</v>
      </c>
      <c r="U3" s="4">
        <v>9.99</v>
      </c>
      <c r="V3" s="4">
        <v>6.99</v>
      </c>
    </row>
    <row r="4" spans="1:22">
      <c r="A4" s="4" t="s">
        <v>75</v>
      </c>
      <c r="B4" s="4">
        <v>30761</v>
      </c>
      <c r="C4" s="4" t="s">
        <v>27</v>
      </c>
      <c r="D4" s="4" t="s">
        <v>28</v>
      </c>
      <c r="E4" s="4" t="s">
        <v>29</v>
      </c>
      <c r="F4" s="4" t="s">
        <v>30</v>
      </c>
      <c r="G4" s="5">
        <v>44708</v>
      </c>
      <c r="H4" s="5">
        <v>44708</v>
      </c>
      <c r="I4" s="4" t="s">
        <v>31</v>
      </c>
      <c r="J4" s="4" t="s">
        <v>66</v>
      </c>
      <c r="K4" s="4" t="s">
        <v>67</v>
      </c>
      <c r="L4" s="4" t="s">
        <v>68</v>
      </c>
      <c r="M4" s="4" t="s">
        <v>157</v>
      </c>
      <c r="N4" s="4">
        <v>1</v>
      </c>
      <c r="O4" s="4">
        <v>1</v>
      </c>
      <c r="P4" s="4">
        <v>54</v>
      </c>
      <c r="Q4" s="4">
        <v>54</v>
      </c>
      <c r="R4" s="4" t="s">
        <v>37</v>
      </c>
      <c r="S4" s="4" t="s">
        <v>38</v>
      </c>
      <c r="T4" s="4" t="s">
        <v>39</v>
      </c>
      <c r="U4" s="4">
        <v>30</v>
      </c>
      <c r="V4" s="4">
        <v>20</v>
      </c>
    </row>
    <row r="5" spans="1:22">
      <c r="A5" s="4" t="s">
        <v>75</v>
      </c>
      <c r="B5" s="4">
        <v>30761</v>
      </c>
      <c r="C5" s="4" t="s">
        <v>27</v>
      </c>
      <c r="D5" s="4" t="s">
        <v>28</v>
      </c>
      <c r="E5" s="4" t="s">
        <v>29</v>
      </c>
      <c r="F5" s="4" t="s">
        <v>30</v>
      </c>
      <c r="G5" s="5">
        <v>44708</v>
      </c>
      <c r="H5" s="5">
        <v>44708</v>
      </c>
      <c r="I5" s="4" t="s">
        <v>31</v>
      </c>
      <c r="J5" s="4" t="s">
        <v>71</v>
      </c>
      <c r="K5" s="4" t="s">
        <v>72</v>
      </c>
      <c r="L5" s="4" t="s">
        <v>73</v>
      </c>
      <c r="M5" s="4" t="s">
        <v>74</v>
      </c>
      <c r="N5" s="4">
        <v>1</v>
      </c>
      <c r="O5" s="4">
        <v>1</v>
      </c>
      <c r="P5" s="4">
        <v>87.6</v>
      </c>
      <c r="Q5" s="4">
        <v>87.6</v>
      </c>
      <c r="R5" s="4" t="s">
        <v>37</v>
      </c>
      <c r="S5" s="4" t="s">
        <v>38</v>
      </c>
      <c r="T5" s="4" t="s">
        <v>39</v>
      </c>
      <c r="U5" s="4">
        <v>40</v>
      </c>
      <c r="V5" s="4">
        <v>20</v>
      </c>
    </row>
    <row r="6" spans="1:22">
      <c r="A6" s="4" t="s">
        <v>86</v>
      </c>
      <c r="B6" s="4">
        <v>30769</v>
      </c>
      <c r="C6" s="4" t="s">
        <v>27</v>
      </c>
      <c r="D6" s="4" t="s">
        <v>76</v>
      </c>
      <c r="E6" s="4" t="s">
        <v>29</v>
      </c>
      <c r="F6" s="4" t="s">
        <v>30</v>
      </c>
      <c r="G6" s="5">
        <v>44711</v>
      </c>
      <c r="H6" s="5">
        <v>44711</v>
      </c>
      <c r="I6" s="4" t="s">
        <v>31</v>
      </c>
      <c r="J6" s="4" t="s">
        <v>80</v>
      </c>
      <c r="K6" s="4" t="s">
        <v>81</v>
      </c>
      <c r="L6" s="4" t="s">
        <v>82</v>
      </c>
      <c r="M6" s="4" t="s">
        <v>158</v>
      </c>
      <c r="N6" s="4">
        <v>1</v>
      </c>
      <c r="O6" s="4">
        <v>1</v>
      </c>
      <c r="P6" s="4">
        <v>67.2</v>
      </c>
      <c r="Q6" s="4">
        <v>67.2</v>
      </c>
      <c r="R6" s="4" t="s">
        <v>37</v>
      </c>
      <c r="S6" s="4" t="s">
        <v>38</v>
      </c>
      <c r="T6" s="4" t="s">
        <v>39</v>
      </c>
      <c r="U6" s="4">
        <v>35</v>
      </c>
      <c r="V6" s="4">
        <v>20</v>
      </c>
    </row>
    <row r="7" spans="1:22">
      <c r="A7" s="4" t="s">
        <v>86</v>
      </c>
      <c r="B7" s="4">
        <v>30769</v>
      </c>
      <c r="C7" s="4" t="s">
        <v>27</v>
      </c>
      <c r="D7" s="4" t="s">
        <v>76</v>
      </c>
      <c r="E7" s="4" t="s">
        <v>29</v>
      </c>
      <c r="F7" s="4" t="s">
        <v>30</v>
      </c>
      <c r="G7" s="5">
        <v>44711</v>
      </c>
      <c r="H7" s="5">
        <v>44711</v>
      </c>
      <c r="I7" s="4" t="s">
        <v>31</v>
      </c>
      <c r="J7" s="4" t="s">
        <v>80</v>
      </c>
      <c r="K7" s="4" t="s">
        <v>81</v>
      </c>
      <c r="L7" s="4" t="s">
        <v>84</v>
      </c>
      <c r="M7" s="4" t="s">
        <v>158</v>
      </c>
      <c r="N7" s="4">
        <v>1</v>
      </c>
      <c r="O7" s="4">
        <v>1</v>
      </c>
      <c r="P7" s="4">
        <v>67.2</v>
      </c>
      <c r="Q7" s="4">
        <v>67.2</v>
      </c>
      <c r="R7" s="4" t="s">
        <v>37</v>
      </c>
      <c r="S7" s="4" t="s">
        <v>38</v>
      </c>
      <c r="T7" s="4" t="s">
        <v>39</v>
      </c>
      <c r="U7" s="4">
        <v>35</v>
      </c>
      <c r="V7" s="4">
        <v>20</v>
      </c>
    </row>
    <row r="8" spans="1:22">
      <c r="A8" s="4" t="s">
        <v>114</v>
      </c>
      <c r="B8" s="4">
        <v>30767</v>
      </c>
      <c r="C8" s="4" t="s">
        <v>27</v>
      </c>
      <c r="D8" s="4" t="s">
        <v>87</v>
      </c>
      <c r="E8" s="4" t="s">
        <v>29</v>
      </c>
      <c r="F8" s="4" t="s">
        <v>30</v>
      </c>
      <c r="G8" s="5">
        <v>44708</v>
      </c>
      <c r="H8" s="5">
        <v>44708</v>
      </c>
      <c r="I8" s="4" t="s">
        <v>30</v>
      </c>
      <c r="J8" s="4" t="s">
        <v>90</v>
      </c>
      <c r="K8" s="4" t="s">
        <v>155</v>
      </c>
      <c r="L8" s="4" t="s">
        <v>91</v>
      </c>
      <c r="M8" s="4" t="s">
        <v>159</v>
      </c>
      <c r="N8" s="4">
        <v>1</v>
      </c>
      <c r="O8" s="4">
        <v>1</v>
      </c>
      <c r="P8" s="4">
        <v>17</v>
      </c>
      <c r="Q8" s="4">
        <v>17</v>
      </c>
      <c r="R8" s="4" t="s">
        <v>37</v>
      </c>
      <c r="S8" s="4" t="s">
        <v>38</v>
      </c>
      <c r="T8" s="4" t="s">
        <v>39</v>
      </c>
      <c r="U8" s="4">
        <v>9.99</v>
      </c>
      <c r="V8" s="4">
        <v>6.99</v>
      </c>
    </row>
    <row r="9" spans="1:22">
      <c r="A9" s="4" t="s">
        <v>114</v>
      </c>
      <c r="B9" s="4">
        <v>30767</v>
      </c>
      <c r="C9" s="4" t="s">
        <v>27</v>
      </c>
      <c r="D9" s="4" t="s">
        <v>87</v>
      </c>
      <c r="E9" s="4" t="s">
        <v>29</v>
      </c>
      <c r="F9" s="4" t="s">
        <v>30</v>
      </c>
      <c r="G9" s="5">
        <v>44708</v>
      </c>
      <c r="H9" s="5">
        <v>44708</v>
      </c>
      <c r="I9" s="4" t="s">
        <v>31</v>
      </c>
      <c r="J9" s="4" t="s">
        <v>92</v>
      </c>
      <c r="K9" s="4" t="s">
        <v>93</v>
      </c>
      <c r="L9" s="4" t="s">
        <v>94</v>
      </c>
      <c r="M9" s="4" t="s">
        <v>160</v>
      </c>
      <c r="N9" s="4">
        <v>1</v>
      </c>
      <c r="O9" s="4">
        <v>1</v>
      </c>
      <c r="P9" s="4">
        <v>54</v>
      </c>
      <c r="Q9" s="4">
        <v>54</v>
      </c>
      <c r="R9" s="4" t="s">
        <v>37</v>
      </c>
      <c r="S9" s="4" t="s">
        <v>38</v>
      </c>
      <c r="T9" s="4" t="s">
        <v>39</v>
      </c>
      <c r="U9" s="4">
        <v>30</v>
      </c>
      <c r="V9" s="4">
        <v>20</v>
      </c>
    </row>
    <row r="10" spans="1:22">
      <c r="A10" s="4" t="s">
        <v>114</v>
      </c>
      <c r="B10" s="4">
        <v>30767</v>
      </c>
      <c r="C10" s="4" t="s">
        <v>27</v>
      </c>
      <c r="D10" s="4" t="s">
        <v>87</v>
      </c>
      <c r="E10" s="4" t="s">
        <v>29</v>
      </c>
      <c r="F10" s="4" t="s">
        <v>30</v>
      </c>
      <c r="G10" s="5">
        <v>44708</v>
      </c>
      <c r="H10" s="5">
        <v>44708</v>
      </c>
      <c r="I10" s="4" t="s">
        <v>53</v>
      </c>
      <c r="J10" s="4" t="s">
        <v>98</v>
      </c>
      <c r="K10" s="4" t="s">
        <v>99</v>
      </c>
      <c r="L10" s="4" t="s">
        <v>100</v>
      </c>
      <c r="M10" s="4" t="s">
        <v>161</v>
      </c>
      <c r="N10" s="4">
        <v>1</v>
      </c>
      <c r="O10" s="4">
        <v>1</v>
      </c>
      <c r="P10" s="4">
        <v>51</v>
      </c>
      <c r="Q10" s="4">
        <v>51</v>
      </c>
      <c r="R10" s="4" t="s">
        <v>37</v>
      </c>
      <c r="S10" s="4" t="s">
        <v>38</v>
      </c>
      <c r="T10" s="4" t="s">
        <v>39</v>
      </c>
      <c r="U10" s="4">
        <v>28</v>
      </c>
      <c r="V10" s="4">
        <v>20</v>
      </c>
    </row>
    <row r="11" spans="1:22">
      <c r="A11" s="4" t="s">
        <v>114</v>
      </c>
      <c r="B11" s="4">
        <v>30767</v>
      </c>
      <c r="C11" s="4" t="s">
        <v>27</v>
      </c>
      <c r="D11" s="4" t="s">
        <v>87</v>
      </c>
      <c r="E11" s="4" t="s">
        <v>29</v>
      </c>
      <c r="F11" s="4" t="s">
        <v>30</v>
      </c>
      <c r="G11" s="5">
        <v>44708</v>
      </c>
      <c r="H11" s="5">
        <v>44708</v>
      </c>
      <c r="I11" s="4" t="s">
        <v>53</v>
      </c>
      <c r="J11" s="4" t="s">
        <v>98</v>
      </c>
      <c r="K11" s="4" t="s">
        <v>99</v>
      </c>
      <c r="L11" s="4" t="s">
        <v>102</v>
      </c>
      <c r="M11" s="4" t="s">
        <v>161</v>
      </c>
      <c r="N11" s="4">
        <v>2</v>
      </c>
      <c r="O11" s="4">
        <v>2</v>
      </c>
      <c r="P11" s="4">
        <v>4.25</v>
      </c>
      <c r="Q11" s="4">
        <v>8.5</v>
      </c>
      <c r="R11" s="4" t="s">
        <v>37</v>
      </c>
      <c r="S11" s="4" t="s">
        <v>38</v>
      </c>
      <c r="T11" s="4" t="s">
        <v>39</v>
      </c>
      <c r="U11" s="4">
        <v>28</v>
      </c>
      <c r="V11" s="4">
        <v>20</v>
      </c>
    </row>
    <row r="12" spans="1:22">
      <c r="A12" s="4" t="s">
        <v>114</v>
      </c>
      <c r="B12" s="4">
        <v>30767</v>
      </c>
      <c r="C12" s="4" t="s">
        <v>27</v>
      </c>
      <c r="D12" s="4" t="s">
        <v>87</v>
      </c>
      <c r="E12" s="4" t="s">
        <v>29</v>
      </c>
      <c r="F12" s="4" t="s">
        <v>30</v>
      </c>
      <c r="G12" s="5">
        <v>44708</v>
      </c>
      <c r="H12" s="5">
        <v>44708</v>
      </c>
      <c r="I12" s="4" t="s">
        <v>53</v>
      </c>
      <c r="J12" s="4" t="s">
        <v>98</v>
      </c>
      <c r="K12" s="4" t="s">
        <v>99</v>
      </c>
      <c r="L12" s="4" t="s">
        <v>103</v>
      </c>
      <c r="M12" s="4" t="s">
        <v>161</v>
      </c>
      <c r="N12" s="4">
        <v>5</v>
      </c>
      <c r="O12" s="4">
        <v>5</v>
      </c>
      <c r="P12" s="4">
        <v>4.25</v>
      </c>
      <c r="Q12" s="4">
        <v>21.25</v>
      </c>
      <c r="R12" s="4" t="s">
        <v>37</v>
      </c>
      <c r="S12" s="4" t="s">
        <v>38</v>
      </c>
      <c r="T12" s="4" t="s">
        <v>39</v>
      </c>
      <c r="U12" s="4">
        <v>28</v>
      </c>
      <c r="V12" s="4">
        <v>20</v>
      </c>
    </row>
    <row r="13" spans="1:22">
      <c r="A13" s="4" t="s">
        <v>114</v>
      </c>
      <c r="B13" s="4">
        <v>30767</v>
      </c>
      <c r="C13" s="4" t="s">
        <v>27</v>
      </c>
      <c r="D13" s="4" t="s">
        <v>87</v>
      </c>
      <c r="E13" s="4" t="s">
        <v>29</v>
      </c>
      <c r="F13" s="4" t="s">
        <v>30</v>
      </c>
      <c r="G13" s="5">
        <v>44708</v>
      </c>
      <c r="H13" s="5">
        <v>44708</v>
      </c>
      <c r="I13" s="4" t="s">
        <v>53</v>
      </c>
      <c r="J13" s="4" t="s">
        <v>98</v>
      </c>
      <c r="K13" s="4" t="s">
        <v>99</v>
      </c>
      <c r="L13" s="4" t="s">
        <v>104</v>
      </c>
      <c r="M13" s="4" t="s">
        <v>161</v>
      </c>
      <c r="N13" s="4">
        <v>3</v>
      </c>
      <c r="O13" s="4">
        <v>3</v>
      </c>
      <c r="P13" s="4">
        <v>4.25</v>
      </c>
      <c r="Q13" s="4">
        <v>12.75</v>
      </c>
      <c r="R13" s="4" t="s">
        <v>37</v>
      </c>
      <c r="S13" s="4" t="s">
        <v>38</v>
      </c>
      <c r="T13" s="4" t="s">
        <v>39</v>
      </c>
      <c r="U13" s="4">
        <v>28</v>
      </c>
      <c r="V13" s="4">
        <v>20</v>
      </c>
    </row>
    <row r="14" spans="1:22">
      <c r="A14" s="4" t="s">
        <v>114</v>
      </c>
      <c r="B14" s="4">
        <v>30767</v>
      </c>
      <c r="C14" s="4" t="s">
        <v>27</v>
      </c>
      <c r="D14" s="4" t="s">
        <v>87</v>
      </c>
      <c r="E14" s="4" t="s">
        <v>29</v>
      </c>
      <c r="F14" s="4" t="s">
        <v>30</v>
      </c>
      <c r="G14" s="5">
        <v>44708</v>
      </c>
      <c r="H14" s="5">
        <v>44708</v>
      </c>
      <c r="I14" s="4" t="s">
        <v>53</v>
      </c>
      <c r="J14" s="4" t="s">
        <v>98</v>
      </c>
      <c r="K14" s="4" t="s">
        <v>99</v>
      </c>
      <c r="L14" s="4" t="s">
        <v>105</v>
      </c>
      <c r="M14" s="4" t="s">
        <v>161</v>
      </c>
      <c r="N14" s="4">
        <v>2</v>
      </c>
      <c r="O14" s="4">
        <v>2</v>
      </c>
      <c r="P14" s="4">
        <v>4.25</v>
      </c>
      <c r="Q14" s="4">
        <v>8.5</v>
      </c>
      <c r="R14" s="4" t="s">
        <v>37</v>
      </c>
      <c r="S14" s="4" t="s">
        <v>38</v>
      </c>
      <c r="T14" s="4" t="s">
        <v>39</v>
      </c>
      <c r="U14" s="4">
        <v>28</v>
      </c>
      <c r="V14" s="4">
        <v>20</v>
      </c>
    </row>
    <row r="15" spans="1:22">
      <c r="A15" s="4" t="s">
        <v>114</v>
      </c>
      <c r="B15" s="4">
        <v>30767</v>
      </c>
      <c r="C15" s="4" t="s">
        <v>27</v>
      </c>
      <c r="D15" s="4" t="s">
        <v>87</v>
      </c>
      <c r="E15" s="4" t="s">
        <v>29</v>
      </c>
      <c r="F15" s="4" t="s">
        <v>30</v>
      </c>
      <c r="G15" s="5">
        <v>44708</v>
      </c>
      <c r="H15" s="5">
        <v>44708</v>
      </c>
      <c r="I15" s="4" t="s">
        <v>59</v>
      </c>
      <c r="J15" s="4" t="s">
        <v>61</v>
      </c>
      <c r="K15" s="4" t="s">
        <v>62</v>
      </c>
      <c r="L15" s="4" t="s">
        <v>106</v>
      </c>
      <c r="M15" s="4" t="s">
        <v>74</v>
      </c>
      <c r="N15" s="4">
        <v>1</v>
      </c>
      <c r="O15" s="4">
        <v>1</v>
      </c>
      <c r="P15" s="4">
        <v>18</v>
      </c>
      <c r="Q15" s="4">
        <v>18</v>
      </c>
      <c r="R15" s="4" t="s">
        <v>37</v>
      </c>
      <c r="S15" s="4" t="s">
        <v>38</v>
      </c>
      <c r="T15" s="4" t="s">
        <v>39</v>
      </c>
      <c r="U15" s="4">
        <v>9.99</v>
      </c>
      <c r="V15" s="4">
        <v>6.99</v>
      </c>
    </row>
    <row r="16" spans="1:22">
      <c r="A16" s="4" t="s">
        <v>114</v>
      </c>
      <c r="B16" s="4">
        <v>30767</v>
      </c>
      <c r="C16" s="4" t="s">
        <v>27</v>
      </c>
      <c r="D16" s="4" t="s">
        <v>87</v>
      </c>
      <c r="E16" s="4" t="s">
        <v>29</v>
      </c>
      <c r="F16" s="4" t="s">
        <v>30</v>
      </c>
      <c r="G16" s="5">
        <v>44708</v>
      </c>
      <c r="H16" s="5">
        <v>44708</v>
      </c>
      <c r="I16" s="4" t="s">
        <v>59</v>
      </c>
      <c r="J16" s="4" t="s">
        <v>108</v>
      </c>
      <c r="K16" s="4" t="s">
        <v>109</v>
      </c>
      <c r="L16" s="4" t="s">
        <v>110</v>
      </c>
      <c r="M16" s="4" t="s">
        <v>74</v>
      </c>
      <c r="N16" s="4">
        <v>1</v>
      </c>
      <c r="O16" s="4">
        <v>1</v>
      </c>
      <c r="P16" s="4">
        <v>33.9</v>
      </c>
      <c r="Q16" s="4">
        <v>33.9</v>
      </c>
      <c r="R16" s="4" t="s">
        <v>37</v>
      </c>
      <c r="S16" s="4" t="s">
        <v>38</v>
      </c>
      <c r="T16" s="4" t="s">
        <v>39</v>
      </c>
      <c r="U16" s="4">
        <v>16.989999999999998</v>
      </c>
      <c r="V16" s="4">
        <v>12.99</v>
      </c>
    </row>
    <row r="17" spans="1:22">
      <c r="A17" s="4" t="s">
        <v>114</v>
      </c>
      <c r="B17" s="4">
        <v>30767</v>
      </c>
      <c r="C17" s="4" t="s">
        <v>27</v>
      </c>
      <c r="D17" s="4" t="s">
        <v>87</v>
      </c>
      <c r="E17" s="4" t="s">
        <v>29</v>
      </c>
      <c r="F17" s="4" t="s">
        <v>30</v>
      </c>
      <c r="G17" s="5">
        <v>44708</v>
      </c>
      <c r="H17" s="5">
        <v>44708</v>
      </c>
      <c r="I17" s="4" t="s">
        <v>31</v>
      </c>
      <c r="J17" s="4" t="s">
        <v>80</v>
      </c>
      <c r="K17" s="4" t="s">
        <v>81</v>
      </c>
      <c r="L17" s="4" t="s">
        <v>84</v>
      </c>
      <c r="M17" s="4" t="s">
        <v>158</v>
      </c>
      <c r="N17" s="4">
        <v>1</v>
      </c>
      <c r="O17" s="4">
        <v>1</v>
      </c>
      <c r="P17" s="4">
        <v>67.2</v>
      </c>
      <c r="Q17" s="4">
        <v>67.2</v>
      </c>
      <c r="R17" s="4" t="s">
        <v>37</v>
      </c>
      <c r="S17" s="4" t="s">
        <v>38</v>
      </c>
      <c r="T17" s="4" t="s">
        <v>39</v>
      </c>
      <c r="U17" s="4">
        <v>35</v>
      </c>
      <c r="V17" s="4">
        <v>20</v>
      </c>
    </row>
    <row r="18" spans="1:22">
      <c r="A18" s="4" t="s">
        <v>118</v>
      </c>
      <c r="B18" s="4">
        <v>30766</v>
      </c>
      <c r="C18" s="4" t="s">
        <v>27</v>
      </c>
      <c r="D18" s="4" t="s">
        <v>115</v>
      </c>
      <c r="E18" s="4" t="s">
        <v>29</v>
      </c>
      <c r="F18" s="4" t="s">
        <v>30</v>
      </c>
      <c r="G18" s="5">
        <v>44708</v>
      </c>
      <c r="H18" s="5">
        <v>44708</v>
      </c>
      <c r="I18" s="4" t="s">
        <v>59</v>
      </c>
      <c r="J18" s="4" t="s">
        <v>61</v>
      </c>
      <c r="K18" s="4" t="s">
        <v>62</v>
      </c>
      <c r="L18" s="4" t="s">
        <v>63</v>
      </c>
      <c r="M18" s="4" t="s">
        <v>163</v>
      </c>
      <c r="N18" s="4">
        <v>1</v>
      </c>
      <c r="O18" s="4">
        <v>1</v>
      </c>
      <c r="P18" s="4">
        <v>18</v>
      </c>
      <c r="Q18" s="4">
        <v>18</v>
      </c>
      <c r="R18" s="4" t="s">
        <v>37</v>
      </c>
      <c r="S18" s="4" t="s">
        <v>38</v>
      </c>
      <c r="T18" s="4" t="s">
        <v>39</v>
      </c>
      <c r="U18" s="4">
        <v>9.99</v>
      </c>
      <c r="V18" s="4">
        <v>6.99</v>
      </c>
    </row>
    <row r="19" spans="1:22">
      <c r="A19" s="4" t="s">
        <v>118</v>
      </c>
      <c r="B19" s="4">
        <v>30766</v>
      </c>
      <c r="C19" s="4" t="s">
        <v>27</v>
      </c>
      <c r="D19" s="4" t="s">
        <v>115</v>
      </c>
      <c r="E19" s="4" t="s">
        <v>29</v>
      </c>
      <c r="F19" s="4" t="s">
        <v>30</v>
      </c>
      <c r="G19" s="5">
        <v>44708</v>
      </c>
      <c r="H19" s="5">
        <v>44708</v>
      </c>
      <c r="I19" s="4" t="s">
        <v>31</v>
      </c>
      <c r="J19" s="4" t="s">
        <v>66</v>
      </c>
      <c r="K19" s="4" t="s">
        <v>67</v>
      </c>
      <c r="L19" s="4" t="s">
        <v>68</v>
      </c>
      <c r="M19" s="4" t="s">
        <v>157</v>
      </c>
      <c r="N19" s="4">
        <v>1</v>
      </c>
      <c r="O19" s="4">
        <v>1</v>
      </c>
      <c r="P19" s="4">
        <v>54</v>
      </c>
      <c r="Q19" s="4">
        <v>54</v>
      </c>
      <c r="R19" s="4" t="s">
        <v>37</v>
      </c>
      <c r="S19" s="4" t="s">
        <v>38</v>
      </c>
      <c r="T19" s="4" t="s">
        <v>39</v>
      </c>
      <c r="U19" s="4">
        <v>30</v>
      </c>
      <c r="V19" s="4">
        <v>20</v>
      </c>
    </row>
    <row r="20" spans="1:22">
      <c r="A20" s="4" t="s">
        <v>118</v>
      </c>
      <c r="B20" s="4">
        <v>30766</v>
      </c>
      <c r="C20" s="4" t="s">
        <v>27</v>
      </c>
      <c r="D20" s="4" t="s">
        <v>115</v>
      </c>
      <c r="E20" s="4" t="s">
        <v>29</v>
      </c>
      <c r="F20" s="4" t="s">
        <v>30</v>
      </c>
      <c r="G20" s="5">
        <v>44708</v>
      </c>
      <c r="H20" s="5">
        <v>44708</v>
      </c>
      <c r="I20" s="4" t="s">
        <v>31</v>
      </c>
      <c r="J20" s="4" t="s">
        <v>71</v>
      </c>
      <c r="K20" s="4" t="s">
        <v>72</v>
      </c>
      <c r="L20" s="4" t="s">
        <v>73</v>
      </c>
      <c r="M20" s="4" t="s">
        <v>74</v>
      </c>
      <c r="N20" s="4">
        <v>1</v>
      </c>
      <c r="O20" s="4">
        <v>1</v>
      </c>
      <c r="P20" s="4">
        <v>87.6</v>
      </c>
      <c r="Q20" s="4">
        <v>87.6</v>
      </c>
      <c r="R20" s="4" t="s">
        <v>37</v>
      </c>
      <c r="S20" s="4" t="s">
        <v>38</v>
      </c>
      <c r="T20" s="4" t="s">
        <v>39</v>
      </c>
      <c r="U20" s="4">
        <v>40</v>
      </c>
      <c r="V20" s="4">
        <v>20</v>
      </c>
    </row>
    <row r="21" spans="1:22">
      <c r="A21" s="4" t="s">
        <v>132</v>
      </c>
      <c r="B21" s="4">
        <v>30768</v>
      </c>
      <c r="C21" s="4" t="s">
        <v>27</v>
      </c>
      <c r="D21" s="4" t="s">
        <v>119</v>
      </c>
      <c r="E21" s="4" t="s">
        <v>29</v>
      </c>
      <c r="F21" s="4" t="s">
        <v>30</v>
      </c>
      <c r="G21" s="5">
        <v>44708</v>
      </c>
      <c r="H21" s="5">
        <v>44708</v>
      </c>
      <c r="I21" s="4" t="s">
        <v>30</v>
      </c>
      <c r="J21" s="4" t="s">
        <v>90</v>
      </c>
      <c r="K21" s="4" t="s">
        <v>154</v>
      </c>
      <c r="L21" s="4" t="s">
        <v>122</v>
      </c>
      <c r="M21" s="4" t="s">
        <v>159</v>
      </c>
      <c r="N21" s="4">
        <v>1</v>
      </c>
      <c r="O21" s="4">
        <v>1</v>
      </c>
      <c r="P21" s="4">
        <v>17</v>
      </c>
      <c r="Q21" s="4">
        <v>17</v>
      </c>
      <c r="R21" s="4" t="s">
        <v>37</v>
      </c>
      <c r="S21" s="4" t="s">
        <v>38</v>
      </c>
      <c r="T21" s="4" t="s">
        <v>39</v>
      </c>
      <c r="U21" s="4">
        <v>9.99</v>
      </c>
      <c r="V21" s="4">
        <v>6.99</v>
      </c>
    </row>
    <row r="22" spans="1:22">
      <c r="A22" s="4" t="s">
        <v>132</v>
      </c>
      <c r="B22" s="4">
        <v>30765</v>
      </c>
      <c r="C22" s="4" t="s">
        <v>27</v>
      </c>
      <c r="D22" s="4" t="s">
        <v>123</v>
      </c>
      <c r="E22" s="4" t="s">
        <v>29</v>
      </c>
      <c r="F22" s="4" t="s">
        <v>30</v>
      </c>
      <c r="G22" s="5">
        <v>44708</v>
      </c>
      <c r="H22" s="5">
        <v>44708</v>
      </c>
      <c r="I22" s="4" t="s">
        <v>31</v>
      </c>
      <c r="J22" s="4" t="s">
        <v>124</v>
      </c>
      <c r="K22" s="4" t="s">
        <v>125</v>
      </c>
      <c r="L22" s="4" t="s">
        <v>126</v>
      </c>
      <c r="M22" s="4" t="s">
        <v>74</v>
      </c>
      <c r="N22" s="4">
        <v>1</v>
      </c>
      <c r="O22" s="4">
        <v>1</v>
      </c>
      <c r="P22" s="4">
        <v>54</v>
      </c>
      <c r="Q22" s="4">
        <v>54</v>
      </c>
      <c r="R22" s="4" t="s">
        <v>37</v>
      </c>
      <c r="S22" s="4" t="s">
        <v>38</v>
      </c>
      <c r="T22" s="4" t="s">
        <v>39</v>
      </c>
      <c r="U22" s="4">
        <v>30</v>
      </c>
      <c r="V22" s="4">
        <v>20</v>
      </c>
    </row>
    <row r="23" spans="1:22">
      <c r="A23" s="4" t="s">
        <v>132</v>
      </c>
      <c r="B23" s="4">
        <v>30765</v>
      </c>
      <c r="C23" s="4" t="s">
        <v>27</v>
      </c>
      <c r="D23" s="4" t="s">
        <v>123</v>
      </c>
      <c r="E23" s="4" t="s">
        <v>29</v>
      </c>
      <c r="F23" s="4" t="s">
        <v>30</v>
      </c>
      <c r="G23" s="5">
        <v>44708</v>
      </c>
      <c r="H23" s="5">
        <v>44708</v>
      </c>
      <c r="I23" s="4" t="s">
        <v>59</v>
      </c>
      <c r="J23" s="4" t="s">
        <v>61</v>
      </c>
      <c r="K23" s="4" t="s">
        <v>62</v>
      </c>
      <c r="L23" s="4" t="s">
        <v>127</v>
      </c>
      <c r="M23" s="4" t="s">
        <v>128</v>
      </c>
      <c r="N23" s="4">
        <v>1</v>
      </c>
      <c r="O23" s="4">
        <v>1</v>
      </c>
      <c r="P23" s="4">
        <v>18</v>
      </c>
      <c r="Q23" s="4">
        <v>18</v>
      </c>
      <c r="R23" s="4" t="s">
        <v>37</v>
      </c>
      <c r="S23" s="4" t="s">
        <v>38</v>
      </c>
      <c r="T23" s="4" t="s">
        <v>39</v>
      </c>
      <c r="U23" s="4">
        <v>9.99</v>
      </c>
      <c r="V23" s="4">
        <v>6.99</v>
      </c>
    </row>
    <row r="24" spans="1:22">
      <c r="A24" s="4" t="s">
        <v>132</v>
      </c>
      <c r="B24" s="4">
        <v>30765</v>
      </c>
      <c r="C24" s="4" t="s">
        <v>27</v>
      </c>
      <c r="D24" s="4" t="s">
        <v>123</v>
      </c>
      <c r="E24" s="4" t="s">
        <v>29</v>
      </c>
      <c r="F24" s="4" t="s">
        <v>30</v>
      </c>
      <c r="G24" s="5">
        <v>44708</v>
      </c>
      <c r="H24" s="5">
        <v>44708</v>
      </c>
      <c r="I24" s="4" t="s">
        <v>59</v>
      </c>
      <c r="J24" s="4" t="s">
        <v>108</v>
      </c>
      <c r="K24" s="4" t="s">
        <v>109</v>
      </c>
      <c r="L24" s="4" t="s">
        <v>129</v>
      </c>
      <c r="M24" s="4" t="s">
        <v>163</v>
      </c>
      <c r="N24" s="4">
        <v>1</v>
      </c>
      <c r="O24" s="4">
        <v>1</v>
      </c>
      <c r="P24" s="4">
        <v>33.9</v>
      </c>
      <c r="Q24" s="4">
        <v>33.9</v>
      </c>
      <c r="R24" s="4" t="s">
        <v>37</v>
      </c>
      <c r="S24" s="4" t="s">
        <v>38</v>
      </c>
      <c r="T24" s="4" t="s">
        <v>39</v>
      </c>
      <c r="U24" s="4">
        <v>16.989999999999998</v>
      </c>
      <c r="V24" s="4">
        <v>12.99</v>
      </c>
    </row>
    <row r="25" spans="1:22">
      <c r="A25" s="4" t="s">
        <v>132</v>
      </c>
      <c r="B25" s="4">
        <v>30765</v>
      </c>
      <c r="C25" s="4" t="s">
        <v>27</v>
      </c>
      <c r="D25" s="4" t="s">
        <v>123</v>
      </c>
      <c r="E25" s="4" t="s">
        <v>29</v>
      </c>
      <c r="F25" s="4" t="s">
        <v>30</v>
      </c>
      <c r="G25" s="5">
        <v>44708</v>
      </c>
      <c r="H25" s="5">
        <v>44708</v>
      </c>
      <c r="I25" s="4" t="s">
        <v>31</v>
      </c>
      <c r="J25" s="4" t="s">
        <v>66</v>
      </c>
      <c r="K25" s="4" t="s">
        <v>67</v>
      </c>
      <c r="L25" s="4" t="s">
        <v>130</v>
      </c>
      <c r="M25" s="4" t="s">
        <v>131</v>
      </c>
      <c r="N25" s="4">
        <v>1</v>
      </c>
      <c r="O25" s="4">
        <v>1</v>
      </c>
      <c r="P25" s="4">
        <v>54</v>
      </c>
      <c r="Q25" s="4">
        <v>54</v>
      </c>
      <c r="R25" s="4" t="s">
        <v>37</v>
      </c>
      <c r="S25" s="4" t="s">
        <v>38</v>
      </c>
      <c r="T25" s="4" t="s">
        <v>39</v>
      </c>
      <c r="U25" s="4">
        <v>30</v>
      </c>
      <c r="V25" s="4">
        <v>20</v>
      </c>
    </row>
    <row r="26" spans="1:22">
      <c r="A26" s="4" t="s">
        <v>132</v>
      </c>
      <c r="B26" s="4">
        <v>30765</v>
      </c>
      <c r="C26" s="4" t="s">
        <v>27</v>
      </c>
      <c r="D26" s="4" t="s">
        <v>123</v>
      </c>
      <c r="E26" s="4" t="s">
        <v>29</v>
      </c>
      <c r="F26" s="4" t="s">
        <v>30</v>
      </c>
      <c r="G26" s="5">
        <v>44708</v>
      </c>
      <c r="H26" s="5">
        <v>44708</v>
      </c>
      <c r="I26" s="4" t="s">
        <v>31</v>
      </c>
      <c r="J26" s="4" t="s">
        <v>71</v>
      </c>
      <c r="K26" s="4" t="s">
        <v>72</v>
      </c>
      <c r="L26" s="4" t="s">
        <v>73</v>
      </c>
      <c r="M26" s="4" t="s">
        <v>74</v>
      </c>
      <c r="N26" s="4">
        <v>1</v>
      </c>
      <c r="O26" s="4">
        <v>1</v>
      </c>
      <c r="P26" s="4">
        <v>87.6</v>
      </c>
      <c r="Q26" s="4">
        <v>87.6</v>
      </c>
      <c r="R26" s="4" t="s">
        <v>37</v>
      </c>
      <c r="S26" s="4" t="s">
        <v>38</v>
      </c>
      <c r="T26" s="4" t="s">
        <v>39</v>
      </c>
      <c r="U26" s="4">
        <v>40</v>
      </c>
      <c r="V26" s="4">
        <v>20</v>
      </c>
    </row>
    <row r="27" spans="1:22">
      <c r="A27" s="4" t="s">
        <v>136</v>
      </c>
      <c r="B27" s="4">
        <v>30764</v>
      </c>
      <c r="C27" s="4" t="s">
        <v>27</v>
      </c>
      <c r="D27" s="4" t="s">
        <v>133</v>
      </c>
      <c r="E27" s="4" t="s">
        <v>29</v>
      </c>
      <c r="F27" s="4" t="s">
        <v>30</v>
      </c>
      <c r="G27" s="5">
        <v>44708</v>
      </c>
      <c r="H27" s="5">
        <v>44708</v>
      </c>
      <c r="I27" s="4" t="s">
        <v>59</v>
      </c>
      <c r="J27" s="4" t="s">
        <v>61</v>
      </c>
      <c r="K27" s="4" t="s">
        <v>62</v>
      </c>
      <c r="L27" s="4" t="s">
        <v>106</v>
      </c>
      <c r="M27" s="4" t="s">
        <v>74</v>
      </c>
      <c r="N27" s="4">
        <v>1</v>
      </c>
      <c r="O27" s="4">
        <v>1</v>
      </c>
      <c r="P27" s="4">
        <v>18</v>
      </c>
      <c r="Q27" s="4">
        <v>18</v>
      </c>
      <c r="R27" s="4" t="s">
        <v>37</v>
      </c>
      <c r="S27" s="4" t="s">
        <v>38</v>
      </c>
      <c r="T27" s="4" t="s">
        <v>39</v>
      </c>
      <c r="U27" s="4">
        <v>9.99</v>
      </c>
      <c r="V27" s="4">
        <v>6.99</v>
      </c>
    </row>
    <row r="28" spans="1:22">
      <c r="A28" s="4" t="s">
        <v>136</v>
      </c>
      <c r="B28" s="4">
        <v>30764</v>
      </c>
      <c r="C28" s="4" t="s">
        <v>27</v>
      </c>
      <c r="D28" s="4" t="s">
        <v>133</v>
      </c>
      <c r="E28" s="4" t="s">
        <v>29</v>
      </c>
      <c r="F28" s="4" t="s">
        <v>30</v>
      </c>
      <c r="G28" s="5">
        <v>44708</v>
      </c>
      <c r="H28" s="5">
        <v>44708</v>
      </c>
      <c r="I28" s="4" t="s">
        <v>59</v>
      </c>
      <c r="J28" s="4" t="s">
        <v>108</v>
      </c>
      <c r="K28" s="4" t="s">
        <v>109</v>
      </c>
      <c r="L28" s="4" t="s">
        <v>110</v>
      </c>
      <c r="M28" s="4" t="s">
        <v>74</v>
      </c>
      <c r="N28" s="4">
        <v>1</v>
      </c>
      <c r="O28" s="4">
        <v>1</v>
      </c>
      <c r="P28" s="4">
        <v>33.9</v>
      </c>
      <c r="Q28" s="4">
        <v>33.9</v>
      </c>
      <c r="R28" s="4" t="s">
        <v>37</v>
      </c>
      <c r="S28" s="4" t="s">
        <v>38</v>
      </c>
      <c r="T28" s="4" t="s">
        <v>39</v>
      </c>
      <c r="U28" s="4">
        <v>16.989999999999998</v>
      </c>
      <c r="V28" s="4">
        <v>12.99</v>
      </c>
    </row>
    <row r="29" spans="1:22">
      <c r="A29" s="4" t="s">
        <v>145</v>
      </c>
      <c r="B29" s="4">
        <v>30763</v>
      </c>
      <c r="C29" s="4" t="s">
        <v>27</v>
      </c>
      <c r="D29" s="4" t="s">
        <v>137</v>
      </c>
      <c r="E29" s="4" t="s">
        <v>29</v>
      </c>
      <c r="F29" s="4" t="s">
        <v>30</v>
      </c>
      <c r="G29" s="5">
        <v>44708</v>
      </c>
      <c r="H29" s="5">
        <v>44708</v>
      </c>
      <c r="I29" s="4" t="s">
        <v>31</v>
      </c>
      <c r="J29" s="4" t="s">
        <v>140</v>
      </c>
      <c r="K29" s="4" t="s">
        <v>141</v>
      </c>
      <c r="L29" s="4" t="s">
        <v>142</v>
      </c>
      <c r="M29" s="4" t="s">
        <v>162</v>
      </c>
      <c r="N29" s="4">
        <v>1</v>
      </c>
      <c r="O29" s="4">
        <v>1</v>
      </c>
      <c r="P29" s="4">
        <v>54</v>
      </c>
      <c r="Q29" s="4">
        <v>54</v>
      </c>
      <c r="R29" s="4" t="s">
        <v>37</v>
      </c>
      <c r="S29" s="4" t="s">
        <v>38</v>
      </c>
      <c r="T29" s="4" t="s">
        <v>39</v>
      </c>
      <c r="U29" s="4">
        <v>30</v>
      </c>
      <c r="V29" s="4">
        <v>20</v>
      </c>
    </row>
    <row r="30" spans="1:22">
      <c r="A30" s="4" t="s">
        <v>145</v>
      </c>
      <c r="B30" s="4">
        <v>30763</v>
      </c>
      <c r="C30" s="4" t="s">
        <v>27</v>
      </c>
      <c r="D30" s="4" t="s">
        <v>137</v>
      </c>
      <c r="E30" s="4" t="s">
        <v>29</v>
      </c>
      <c r="F30" s="4" t="s">
        <v>30</v>
      </c>
      <c r="G30" s="5">
        <v>44708</v>
      </c>
      <c r="H30" s="5">
        <v>44708</v>
      </c>
      <c r="I30" s="4" t="s">
        <v>59</v>
      </c>
      <c r="J30" s="4" t="s">
        <v>61</v>
      </c>
      <c r="K30" s="4" t="s">
        <v>62</v>
      </c>
      <c r="L30" s="4" t="s">
        <v>106</v>
      </c>
      <c r="M30" s="4" t="s">
        <v>74</v>
      </c>
      <c r="N30" s="4">
        <v>1</v>
      </c>
      <c r="O30" s="4">
        <v>1</v>
      </c>
      <c r="P30" s="4">
        <v>18</v>
      </c>
      <c r="Q30" s="4">
        <v>18</v>
      </c>
      <c r="R30" s="4" t="s">
        <v>37</v>
      </c>
      <c r="S30" s="4" t="s">
        <v>38</v>
      </c>
      <c r="T30" s="4" t="s">
        <v>39</v>
      </c>
      <c r="U30" s="4">
        <v>9.99</v>
      </c>
      <c r="V30" s="4">
        <v>6.99</v>
      </c>
    </row>
    <row r="31" spans="1:22">
      <c r="A31" s="4" t="s">
        <v>145</v>
      </c>
      <c r="B31" s="4">
        <v>30763</v>
      </c>
      <c r="C31" s="4" t="s">
        <v>27</v>
      </c>
      <c r="D31" s="4" t="s">
        <v>137</v>
      </c>
      <c r="E31" s="4" t="s">
        <v>29</v>
      </c>
      <c r="F31" s="4" t="s">
        <v>30</v>
      </c>
      <c r="G31" s="5">
        <v>44708</v>
      </c>
      <c r="H31" s="5">
        <v>44708</v>
      </c>
      <c r="I31" s="4" t="s">
        <v>59</v>
      </c>
      <c r="J31" s="4" t="s">
        <v>108</v>
      </c>
      <c r="K31" s="4" t="s">
        <v>109</v>
      </c>
      <c r="L31" s="4" t="s">
        <v>129</v>
      </c>
      <c r="M31" s="4" t="s">
        <v>163</v>
      </c>
      <c r="N31" s="4">
        <v>1</v>
      </c>
      <c r="O31" s="4">
        <v>1</v>
      </c>
      <c r="P31" s="4">
        <v>33.9</v>
      </c>
      <c r="Q31" s="4">
        <v>33.9</v>
      </c>
      <c r="R31" s="4" t="s">
        <v>37</v>
      </c>
      <c r="S31" s="4" t="s">
        <v>38</v>
      </c>
      <c r="T31" s="4" t="s">
        <v>39</v>
      </c>
      <c r="U31" s="4">
        <v>16.989999999999998</v>
      </c>
      <c r="V31" s="4">
        <v>12.99</v>
      </c>
    </row>
    <row r="32" spans="1:22">
      <c r="A32" s="4" t="s">
        <v>151</v>
      </c>
      <c r="B32" s="4">
        <v>30762</v>
      </c>
      <c r="C32" s="4" t="s">
        <v>27</v>
      </c>
      <c r="D32" s="4" t="s">
        <v>146</v>
      </c>
      <c r="E32" s="4" t="s">
        <v>29</v>
      </c>
      <c r="F32" s="4" t="s">
        <v>30</v>
      </c>
      <c r="G32" s="5">
        <v>44708</v>
      </c>
      <c r="H32" s="5">
        <v>44708</v>
      </c>
      <c r="I32" s="4" t="s">
        <v>59</v>
      </c>
      <c r="J32" s="4" t="s">
        <v>61</v>
      </c>
      <c r="K32" s="4" t="s">
        <v>62</v>
      </c>
      <c r="L32" s="4" t="s">
        <v>63</v>
      </c>
      <c r="M32" s="4" t="s">
        <v>163</v>
      </c>
      <c r="N32" s="4">
        <v>1</v>
      </c>
      <c r="O32" s="4">
        <v>1</v>
      </c>
      <c r="P32" s="4">
        <v>18</v>
      </c>
      <c r="Q32" s="4">
        <v>18</v>
      </c>
      <c r="R32" s="4" t="s">
        <v>37</v>
      </c>
      <c r="S32" s="4" t="s">
        <v>38</v>
      </c>
      <c r="T32" s="4" t="s">
        <v>39</v>
      </c>
      <c r="U32" s="4">
        <v>9.99</v>
      </c>
      <c r="V32" s="4">
        <v>6.99</v>
      </c>
    </row>
    <row r="33" spans="1:22">
      <c r="A33" s="4" t="s">
        <v>151</v>
      </c>
      <c r="B33" s="4">
        <v>30762</v>
      </c>
      <c r="C33" s="4" t="s">
        <v>27</v>
      </c>
      <c r="D33" s="4" t="s">
        <v>146</v>
      </c>
      <c r="E33" s="4" t="s">
        <v>29</v>
      </c>
      <c r="F33" s="4" t="s">
        <v>30</v>
      </c>
      <c r="G33" s="5">
        <v>44708</v>
      </c>
      <c r="H33" s="5">
        <v>44708</v>
      </c>
      <c r="I33" s="4" t="s">
        <v>31</v>
      </c>
      <c r="J33" s="4" t="s">
        <v>80</v>
      </c>
      <c r="K33" s="4" t="s">
        <v>81</v>
      </c>
      <c r="L33" s="4" t="s">
        <v>149</v>
      </c>
      <c r="M33" s="4" t="s">
        <v>163</v>
      </c>
      <c r="N33" s="4">
        <v>1</v>
      </c>
      <c r="O33" s="4">
        <v>1</v>
      </c>
      <c r="P33" s="4">
        <v>67</v>
      </c>
      <c r="Q33" s="4">
        <v>67</v>
      </c>
      <c r="R33" s="4" t="s">
        <v>37</v>
      </c>
      <c r="S33" s="4" t="s">
        <v>38</v>
      </c>
      <c r="T33" s="4" t="s">
        <v>39</v>
      </c>
      <c r="U33" s="4">
        <v>35</v>
      </c>
      <c r="V33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Young</dc:creator>
  <cp:lastModifiedBy>Anna Giulia Cescon</cp:lastModifiedBy>
  <dcterms:created xsi:type="dcterms:W3CDTF">2022-06-20T11:06:11Z</dcterms:created>
  <dcterms:modified xsi:type="dcterms:W3CDTF">2022-06-23T08:11:10Z</dcterms:modified>
</cp:coreProperties>
</file>